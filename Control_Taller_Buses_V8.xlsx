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2.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EDUCACION\ENTRENAMIENTO IA\GITHUB PORTAFOLIOS\Caso 4 Mantencion\"/>
    </mc:Choice>
  </mc:AlternateContent>
  <xr:revisionPtr revIDLastSave="0" documentId="13_ncr:1_{0D956BD5-2D6C-4DE6-BAE2-32581A5DF536}" xr6:coauthVersionLast="47" xr6:coauthVersionMax="47" xr10:uidLastSave="{00000000-0000-0000-0000-000000000000}"/>
  <bookViews>
    <workbookView xWindow="-120" yWindow="-120" windowWidth="29040" windowHeight="15720" tabRatio="500" xr2:uid="{00000000-000D-0000-FFFF-FFFF00000000}"/>
  </bookViews>
  <sheets>
    <sheet name="Instrucciones" sheetId="1" r:id="rId1"/>
    <sheet name="Control_Mandante" sheetId="2" r:id="rId2"/>
    <sheet name="Dashboard" sheetId="10" r:id="rId3"/>
    <sheet name="Dashboard_Mecanicos" sheetId="3" r:id="rId4"/>
    <sheet name="Dashboard_Graficos" sheetId="4" r:id="rId5"/>
    <sheet name="Maestro_Clientes" sheetId="5" r:id="rId6"/>
    <sheet name="Maestro_Tecnicos" sheetId="6" r:id="rId7"/>
    <sheet name="Maestro_Repuestos" sheetId="7" r:id="rId8"/>
    <sheet name="Registro_OT" sheetId="8" r:id="rId9"/>
    <sheet name="Detalle_OT" sheetId="9" r:id="rId10"/>
    <sheet name="Pruebas_Verificacion"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 i="11" l="1"/>
  <c r="D19" i="11"/>
  <c r="F19" i="11" s="1"/>
  <c r="D17" i="11"/>
  <c r="F17" i="11" s="1"/>
  <c r="D16" i="11"/>
  <c r="F16" i="11" s="1"/>
  <c r="B3" i="11"/>
  <c r="P6" i="10"/>
  <c r="P5" i="10"/>
  <c r="J592" i="9"/>
  <c r="I592" i="9"/>
  <c r="H592" i="9"/>
  <c r="J591" i="9"/>
  <c r="I591" i="9"/>
  <c r="H591" i="9"/>
  <c r="Z181" i="8" s="1"/>
  <c r="J590" i="9"/>
  <c r="I590" i="9"/>
  <c r="H590" i="9"/>
  <c r="J589" i="9"/>
  <c r="I589" i="9"/>
  <c r="H589" i="9"/>
  <c r="Y181" i="8" s="1"/>
  <c r="J588" i="9"/>
  <c r="I588" i="9"/>
  <c r="H588" i="9"/>
  <c r="J587" i="9"/>
  <c r="I587" i="9"/>
  <c r="H587" i="9"/>
  <c r="J586" i="9"/>
  <c r="I586" i="9"/>
  <c r="H586" i="9"/>
  <c r="J585" i="9"/>
  <c r="I585" i="9"/>
  <c r="H585" i="9"/>
  <c r="Y180" i="8" s="1"/>
  <c r="J584" i="9"/>
  <c r="I584" i="9"/>
  <c r="H584" i="9"/>
  <c r="J583" i="9"/>
  <c r="I583" i="9"/>
  <c r="H583" i="9"/>
  <c r="J582" i="9"/>
  <c r="I582" i="9"/>
  <c r="H582" i="9"/>
  <c r="J581" i="9"/>
  <c r="I581" i="9"/>
  <c r="H581" i="9"/>
  <c r="J580" i="9"/>
  <c r="I580" i="9"/>
  <c r="H580" i="9"/>
  <c r="Y178" i="8" s="1"/>
  <c r="J579" i="9"/>
  <c r="I579" i="9"/>
  <c r="H579" i="9"/>
  <c r="Z177" i="8" s="1"/>
  <c r="J578" i="9"/>
  <c r="I578" i="9"/>
  <c r="H578" i="9"/>
  <c r="J577" i="9"/>
  <c r="I577" i="9"/>
  <c r="H577" i="9"/>
  <c r="J576" i="9"/>
  <c r="I576" i="9"/>
  <c r="H576" i="9"/>
  <c r="J575" i="9"/>
  <c r="I575" i="9"/>
  <c r="X176" i="8" s="1"/>
  <c r="H575" i="9"/>
  <c r="J574" i="9"/>
  <c r="I574" i="9"/>
  <c r="H574" i="9"/>
  <c r="J573" i="9"/>
  <c r="I573" i="9"/>
  <c r="H573" i="9"/>
  <c r="Z175" i="8" s="1"/>
  <c r="J572" i="9"/>
  <c r="I572" i="9"/>
  <c r="H572" i="9"/>
  <c r="J571" i="9"/>
  <c r="I571" i="9"/>
  <c r="H571" i="9"/>
  <c r="J570" i="9"/>
  <c r="I570" i="9"/>
  <c r="H570" i="9"/>
  <c r="J569" i="9"/>
  <c r="I569" i="9"/>
  <c r="X173" i="8" s="1"/>
  <c r="L173" i="8" s="1"/>
  <c r="H569" i="9"/>
  <c r="J568" i="9"/>
  <c r="I568" i="9"/>
  <c r="H568" i="9"/>
  <c r="K567" i="9"/>
  <c r="J567" i="9"/>
  <c r="I567" i="9"/>
  <c r="H567" i="9"/>
  <c r="J566" i="9"/>
  <c r="I566" i="9"/>
  <c r="H566" i="9"/>
  <c r="J565" i="9"/>
  <c r="AK172" i="8" s="1"/>
  <c r="I565" i="9"/>
  <c r="H565" i="9"/>
  <c r="J564" i="9"/>
  <c r="I564" i="9"/>
  <c r="H564" i="9"/>
  <c r="Y172" i="8" s="1"/>
  <c r="J563" i="9"/>
  <c r="I563" i="9"/>
  <c r="H563" i="9"/>
  <c r="J562" i="9"/>
  <c r="I562" i="9"/>
  <c r="H562" i="9"/>
  <c r="J561" i="9"/>
  <c r="I561" i="9"/>
  <c r="H561" i="9"/>
  <c r="J560" i="9"/>
  <c r="I560" i="9"/>
  <c r="H560" i="9"/>
  <c r="J559" i="9"/>
  <c r="I559" i="9"/>
  <c r="H559" i="9"/>
  <c r="K558" i="9"/>
  <c r="J558" i="9"/>
  <c r="I558" i="9"/>
  <c r="H558" i="9"/>
  <c r="J557" i="9"/>
  <c r="I557" i="9"/>
  <c r="H557" i="9"/>
  <c r="J556" i="9"/>
  <c r="I556" i="9"/>
  <c r="H556" i="9"/>
  <c r="J555" i="9"/>
  <c r="I555" i="9"/>
  <c r="H555" i="9"/>
  <c r="J554" i="9"/>
  <c r="I554" i="9"/>
  <c r="X169" i="8" s="1"/>
  <c r="H554" i="9"/>
  <c r="J553" i="9"/>
  <c r="I553" i="9"/>
  <c r="H553" i="9"/>
  <c r="J552" i="9"/>
  <c r="I552" i="9"/>
  <c r="H552" i="9"/>
  <c r="J551" i="9"/>
  <c r="I551" i="9"/>
  <c r="H551" i="9"/>
  <c r="J550" i="9"/>
  <c r="I550" i="9"/>
  <c r="H550" i="9"/>
  <c r="J549" i="9"/>
  <c r="I549" i="9"/>
  <c r="H549" i="9"/>
  <c r="J548" i="9"/>
  <c r="I548" i="9"/>
  <c r="H548" i="9"/>
  <c r="J547" i="9"/>
  <c r="I547" i="9"/>
  <c r="H547" i="9"/>
  <c r="Z166" i="8" s="1"/>
  <c r="J546" i="9"/>
  <c r="I546" i="9"/>
  <c r="H546" i="9"/>
  <c r="J545" i="9"/>
  <c r="I545" i="9"/>
  <c r="H545" i="9"/>
  <c r="J544" i="9"/>
  <c r="I544" i="9"/>
  <c r="H544" i="9"/>
  <c r="J543" i="9"/>
  <c r="I543" i="9"/>
  <c r="H543" i="9"/>
  <c r="J542" i="9"/>
  <c r="I542" i="9"/>
  <c r="H542" i="9"/>
  <c r="J541" i="9"/>
  <c r="I541" i="9"/>
  <c r="H541" i="9"/>
  <c r="J540" i="9"/>
  <c r="I540" i="9"/>
  <c r="H540" i="9"/>
  <c r="J539" i="9"/>
  <c r="I539" i="9"/>
  <c r="H539" i="9"/>
  <c r="J538" i="9"/>
  <c r="I538" i="9"/>
  <c r="H538" i="9"/>
  <c r="J537" i="9"/>
  <c r="I537" i="9"/>
  <c r="H537" i="9"/>
  <c r="Z163" i="8" s="1"/>
  <c r="J536" i="9"/>
  <c r="I536" i="9"/>
  <c r="X163" i="8" s="1"/>
  <c r="H536" i="9"/>
  <c r="J535" i="9"/>
  <c r="I535" i="9"/>
  <c r="H535" i="9"/>
  <c r="J534" i="9"/>
  <c r="I534" i="9"/>
  <c r="H534" i="9"/>
  <c r="J533" i="9"/>
  <c r="I533" i="9"/>
  <c r="H533" i="9"/>
  <c r="J532" i="9"/>
  <c r="I532" i="9"/>
  <c r="H532" i="9"/>
  <c r="J531" i="9"/>
  <c r="I531" i="9"/>
  <c r="H531" i="9"/>
  <c r="Y162" i="8" s="1"/>
  <c r="J530" i="9"/>
  <c r="I530" i="9"/>
  <c r="H530" i="9"/>
  <c r="J529" i="9"/>
  <c r="I529" i="9"/>
  <c r="H529" i="9"/>
  <c r="J528" i="9"/>
  <c r="I528" i="9"/>
  <c r="H528" i="9"/>
  <c r="J527" i="9"/>
  <c r="I527" i="9"/>
  <c r="X161" i="8" s="1"/>
  <c r="L161" i="8" s="1"/>
  <c r="H527" i="9"/>
  <c r="J526" i="9"/>
  <c r="I526" i="9"/>
  <c r="H526" i="9"/>
  <c r="J525" i="9"/>
  <c r="I525" i="9"/>
  <c r="H525" i="9"/>
  <c r="J524" i="9"/>
  <c r="I524" i="9"/>
  <c r="H524" i="9"/>
  <c r="J523" i="9"/>
  <c r="I523" i="9"/>
  <c r="H523" i="9"/>
  <c r="J522" i="9"/>
  <c r="I522" i="9"/>
  <c r="H522" i="9"/>
  <c r="J521" i="9"/>
  <c r="I521" i="9"/>
  <c r="H521" i="9"/>
  <c r="J520" i="9"/>
  <c r="AK158" i="8" s="1"/>
  <c r="I520" i="9"/>
  <c r="H520" i="9"/>
  <c r="J519" i="9"/>
  <c r="I519" i="9"/>
  <c r="H519" i="9"/>
  <c r="Y158" i="8" s="1"/>
  <c r="J518" i="9"/>
  <c r="I518" i="9"/>
  <c r="H518" i="9"/>
  <c r="J517" i="9"/>
  <c r="I517" i="9"/>
  <c r="H517" i="9"/>
  <c r="Z157" i="8" s="1"/>
  <c r="J516" i="9"/>
  <c r="I516" i="9"/>
  <c r="H516" i="9"/>
  <c r="J515" i="9"/>
  <c r="I515" i="9"/>
  <c r="H515" i="9"/>
  <c r="J514" i="9"/>
  <c r="I514" i="9"/>
  <c r="H514" i="9"/>
  <c r="J513" i="9"/>
  <c r="I513" i="9"/>
  <c r="H513" i="9"/>
  <c r="J512" i="9"/>
  <c r="I512" i="9"/>
  <c r="H512" i="9"/>
  <c r="J511" i="9"/>
  <c r="I511" i="9"/>
  <c r="H511" i="9"/>
  <c r="J510" i="9"/>
  <c r="I510" i="9"/>
  <c r="H510" i="9"/>
  <c r="Y155" i="8" s="1"/>
  <c r="J509" i="9"/>
  <c r="I509" i="9"/>
  <c r="H509" i="9"/>
  <c r="J508" i="9"/>
  <c r="I508" i="9"/>
  <c r="H508" i="9"/>
  <c r="J507" i="9"/>
  <c r="I507" i="9"/>
  <c r="H507" i="9"/>
  <c r="J506" i="9"/>
  <c r="I506" i="9"/>
  <c r="X153" i="8" s="1"/>
  <c r="L153" i="8" s="1"/>
  <c r="H506" i="9"/>
  <c r="J505" i="9"/>
  <c r="I505" i="9"/>
  <c r="H505" i="9"/>
  <c r="J504" i="9"/>
  <c r="I504" i="9"/>
  <c r="H504" i="9"/>
  <c r="J503" i="9"/>
  <c r="I503" i="9"/>
  <c r="H503" i="9"/>
  <c r="J502" i="9"/>
  <c r="AK152" i="8" s="1"/>
  <c r="I502" i="9"/>
  <c r="H502" i="9"/>
  <c r="J501" i="9"/>
  <c r="I501" i="9"/>
  <c r="H501" i="9"/>
  <c r="Y152" i="8" s="1"/>
  <c r="J500" i="9"/>
  <c r="I500" i="9"/>
  <c r="H500" i="9"/>
  <c r="J499" i="9"/>
  <c r="I499" i="9"/>
  <c r="H499" i="9"/>
  <c r="Z151" i="8" s="1"/>
  <c r="J498" i="9"/>
  <c r="I498" i="9"/>
  <c r="H498" i="9"/>
  <c r="J497" i="9"/>
  <c r="I497" i="9"/>
  <c r="H497" i="9"/>
  <c r="J496" i="9"/>
  <c r="I496" i="9"/>
  <c r="H496" i="9"/>
  <c r="J495" i="9"/>
  <c r="I495" i="9"/>
  <c r="H495" i="9"/>
  <c r="J494" i="9"/>
  <c r="I494" i="9"/>
  <c r="H494" i="9"/>
  <c r="J493" i="9"/>
  <c r="I493" i="9"/>
  <c r="H493" i="9"/>
  <c r="J492" i="9"/>
  <c r="I492" i="9"/>
  <c r="H492" i="9"/>
  <c r="J491" i="9"/>
  <c r="I491" i="9"/>
  <c r="H491" i="9"/>
  <c r="J490" i="9"/>
  <c r="I490" i="9"/>
  <c r="H490" i="9"/>
  <c r="Z149" i="8" s="1"/>
  <c r="J489" i="9"/>
  <c r="I489" i="9"/>
  <c r="H489" i="9"/>
  <c r="J488" i="9"/>
  <c r="I488" i="9"/>
  <c r="H488" i="9"/>
  <c r="J487" i="9"/>
  <c r="I487" i="9"/>
  <c r="H487" i="9"/>
  <c r="J486" i="9"/>
  <c r="I486" i="9"/>
  <c r="H486" i="9"/>
  <c r="J485" i="9"/>
  <c r="I485" i="9"/>
  <c r="H485" i="9"/>
  <c r="J484" i="9"/>
  <c r="I484" i="9"/>
  <c r="H484" i="9"/>
  <c r="J483" i="9"/>
  <c r="I483" i="9"/>
  <c r="H483" i="9"/>
  <c r="J482" i="9"/>
  <c r="I482" i="9"/>
  <c r="H482" i="9"/>
  <c r="J481" i="9"/>
  <c r="I481" i="9"/>
  <c r="H481" i="9"/>
  <c r="Y147" i="8" s="1"/>
  <c r="J480" i="9"/>
  <c r="I480" i="9"/>
  <c r="H480" i="9"/>
  <c r="J479" i="9"/>
  <c r="I479" i="9"/>
  <c r="H479" i="9"/>
  <c r="J478" i="9"/>
  <c r="I478" i="9"/>
  <c r="H478" i="9"/>
  <c r="J477" i="9"/>
  <c r="I477" i="9"/>
  <c r="H477" i="9"/>
  <c r="J476" i="9"/>
  <c r="I476" i="9"/>
  <c r="H476" i="9"/>
  <c r="J475" i="9"/>
  <c r="I475" i="9"/>
  <c r="H475" i="9"/>
  <c r="J474" i="9"/>
  <c r="I474" i="9"/>
  <c r="H474" i="9"/>
  <c r="J473" i="9"/>
  <c r="I473" i="9"/>
  <c r="X145" i="8" s="1"/>
  <c r="H473" i="9"/>
  <c r="J472" i="9"/>
  <c r="I472" i="9"/>
  <c r="H472" i="9"/>
  <c r="J471" i="9"/>
  <c r="I471" i="9"/>
  <c r="H471" i="9"/>
  <c r="J470" i="9"/>
  <c r="I470" i="9"/>
  <c r="H470" i="9"/>
  <c r="J469" i="9"/>
  <c r="I469" i="9"/>
  <c r="H469" i="9"/>
  <c r="J468" i="9"/>
  <c r="I468" i="9"/>
  <c r="H468" i="9"/>
  <c r="Y144" i="8" s="1"/>
  <c r="J467" i="9"/>
  <c r="I467" i="9"/>
  <c r="H467" i="9"/>
  <c r="J466" i="9"/>
  <c r="I466" i="9"/>
  <c r="H466" i="9"/>
  <c r="J465" i="9"/>
  <c r="I465" i="9"/>
  <c r="H465" i="9"/>
  <c r="J464" i="9"/>
  <c r="I464" i="9"/>
  <c r="H464" i="9"/>
  <c r="J463" i="9"/>
  <c r="I463" i="9"/>
  <c r="H463" i="9"/>
  <c r="J462" i="9"/>
  <c r="I462" i="9"/>
  <c r="H462" i="9"/>
  <c r="J461" i="9"/>
  <c r="I461" i="9"/>
  <c r="H461" i="9"/>
  <c r="J460" i="9"/>
  <c r="I460" i="9"/>
  <c r="H460" i="9"/>
  <c r="J459" i="9"/>
  <c r="I459" i="9"/>
  <c r="H459" i="9"/>
  <c r="J458" i="9"/>
  <c r="I458" i="9"/>
  <c r="H458" i="9"/>
  <c r="J457" i="9"/>
  <c r="I457" i="9"/>
  <c r="H457" i="9"/>
  <c r="J456" i="9"/>
  <c r="I456" i="9"/>
  <c r="H456" i="9"/>
  <c r="J455" i="9"/>
  <c r="I455" i="9"/>
  <c r="H455" i="9"/>
  <c r="J454" i="9"/>
  <c r="I454" i="9"/>
  <c r="H454" i="9"/>
  <c r="J453" i="9"/>
  <c r="I453" i="9"/>
  <c r="H453" i="9"/>
  <c r="J452" i="9"/>
  <c r="I452" i="9"/>
  <c r="X139" i="8" s="1"/>
  <c r="H452" i="9"/>
  <c r="J451" i="9"/>
  <c r="I451" i="9"/>
  <c r="H451" i="9"/>
  <c r="J450" i="9"/>
  <c r="I450" i="9"/>
  <c r="H450" i="9"/>
  <c r="J449" i="9"/>
  <c r="I449" i="9"/>
  <c r="H449" i="9"/>
  <c r="J448" i="9"/>
  <c r="I448" i="9"/>
  <c r="H448" i="9"/>
  <c r="J447" i="9"/>
  <c r="I447" i="9"/>
  <c r="H447" i="9"/>
  <c r="J446" i="9"/>
  <c r="I446" i="9"/>
  <c r="H446" i="9"/>
  <c r="J445" i="9"/>
  <c r="I445" i="9"/>
  <c r="H445" i="9"/>
  <c r="J444" i="9"/>
  <c r="I444" i="9"/>
  <c r="H444" i="9"/>
  <c r="J443" i="9"/>
  <c r="I443" i="9"/>
  <c r="X136" i="8" s="1"/>
  <c r="L136" i="8" s="1"/>
  <c r="H443" i="9"/>
  <c r="J442" i="9"/>
  <c r="I442" i="9"/>
  <c r="H442" i="9"/>
  <c r="J441" i="9"/>
  <c r="I441" i="9"/>
  <c r="H441" i="9"/>
  <c r="J440" i="9"/>
  <c r="I440" i="9"/>
  <c r="H440" i="9"/>
  <c r="J439" i="9"/>
  <c r="I439" i="9"/>
  <c r="H439" i="9"/>
  <c r="J438" i="9"/>
  <c r="I438" i="9"/>
  <c r="H438" i="9"/>
  <c r="J437" i="9"/>
  <c r="I437" i="9"/>
  <c r="H437" i="9"/>
  <c r="J436" i="9"/>
  <c r="AK135" i="8" s="1"/>
  <c r="I436" i="9"/>
  <c r="H436" i="9"/>
  <c r="Y135" i="8" s="1"/>
  <c r="J435" i="9"/>
  <c r="I435" i="9"/>
  <c r="H435" i="9"/>
  <c r="Z134" i="8" s="1"/>
  <c r="J434" i="9"/>
  <c r="I434" i="9"/>
  <c r="H434" i="9"/>
  <c r="J433" i="9"/>
  <c r="I433" i="9"/>
  <c r="H433" i="9"/>
  <c r="J432" i="9"/>
  <c r="I432" i="9"/>
  <c r="H432" i="9"/>
  <c r="J431" i="9"/>
  <c r="I431" i="9"/>
  <c r="H431" i="9"/>
  <c r="J430" i="9"/>
  <c r="I430" i="9"/>
  <c r="H430" i="9"/>
  <c r="Z133" i="8" s="1"/>
  <c r="J429" i="9"/>
  <c r="I429" i="9"/>
  <c r="H429" i="9"/>
  <c r="J428" i="9"/>
  <c r="I428" i="9"/>
  <c r="H428" i="9"/>
  <c r="J427" i="9"/>
  <c r="I427" i="9"/>
  <c r="H427" i="9"/>
  <c r="J426" i="9"/>
  <c r="I426" i="9"/>
  <c r="H426" i="9"/>
  <c r="Y132" i="8" s="1"/>
  <c r="J425" i="9"/>
  <c r="AK132" i="8" s="1"/>
  <c r="I425" i="9"/>
  <c r="H425" i="9"/>
  <c r="J424" i="9"/>
  <c r="I424" i="9"/>
  <c r="H424" i="9"/>
  <c r="Z131" i="8" s="1"/>
  <c r="J423" i="9"/>
  <c r="I423" i="9"/>
  <c r="H423" i="9"/>
  <c r="J422" i="9"/>
  <c r="I422" i="9"/>
  <c r="H422" i="9"/>
  <c r="J421" i="9"/>
  <c r="I421" i="9"/>
  <c r="H421" i="9"/>
  <c r="J420" i="9"/>
  <c r="I420" i="9"/>
  <c r="H420" i="9"/>
  <c r="J419" i="9"/>
  <c r="I419" i="9"/>
  <c r="H419" i="9"/>
  <c r="J418" i="9"/>
  <c r="I418" i="9"/>
  <c r="H418" i="9"/>
  <c r="J417" i="9"/>
  <c r="I417" i="9"/>
  <c r="H417" i="9"/>
  <c r="J416" i="9"/>
  <c r="I416" i="9"/>
  <c r="H416" i="9"/>
  <c r="J415" i="9"/>
  <c r="I415" i="9"/>
  <c r="H415" i="9"/>
  <c r="J414" i="9"/>
  <c r="I414" i="9"/>
  <c r="H414" i="9"/>
  <c r="J413" i="9"/>
  <c r="I413" i="9"/>
  <c r="H413" i="9"/>
  <c r="J412" i="9"/>
  <c r="I412" i="9"/>
  <c r="H412" i="9"/>
  <c r="J411" i="9"/>
  <c r="I411" i="9"/>
  <c r="X127" i="8" s="1"/>
  <c r="L127" i="8" s="1"/>
  <c r="H411" i="9"/>
  <c r="J410" i="9"/>
  <c r="I410" i="9"/>
  <c r="H410" i="9"/>
  <c r="J409" i="9"/>
  <c r="I409" i="9"/>
  <c r="H409" i="9"/>
  <c r="J408" i="9"/>
  <c r="I408" i="9"/>
  <c r="H408" i="9"/>
  <c r="J407" i="9"/>
  <c r="I407" i="9"/>
  <c r="H407" i="9"/>
  <c r="J406" i="9"/>
  <c r="AK126" i="8" s="1"/>
  <c r="I406" i="9"/>
  <c r="H406" i="9"/>
  <c r="Y126" i="8" s="1"/>
  <c r="J405" i="9"/>
  <c r="I405" i="9"/>
  <c r="H405" i="9"/>
  <c r="Z125" i="8" s="1"/>
  <c r="J404" i="9"/>
  <c r="I404" i="9"/>
  <c r="H404" i="9"/>
  <c r="J403" i="9"/>
  <c r="I403" i="9"/>
  <c r="H403" i="9"/>
  <c r="Y125" i="8" s="1"/>
  <c r="J402" i="9"/>
  <c r="I402" i="9"/>
  <c r="H402" i="9"/>
  <c r="J401" i="9"/>
  <c r="I401" i="9"/>
  <c r="H401" i="9"/>
  <c r="J400" i="9"/>
  <c r="I400" i="9"/>
  <c r="H400" i="9"/>
  <c r="J399" i="9"/>
  <c r="I399" i="9"/>
  <c r="H399" i="9"/>
  <c r="J398" i="9"/>
  <c r="I398" i="9"/>
  <c r="H398" i="9"/>
  <c r="J397" i="9"/>
  <c r="AK124" i="8" s="1"/>
  <c r="I397" i="9"/>
  <c r="H397" i="9"/>
  <c r="J396" i="9"/>
  <c r="I396" i="9"/>
  <c r="H396" i="9"/>
  <c r="J395" i="9"/>
  <c r="AK123" i="8" s="1"/>
  <c r="I395" i="9"/>
  <c r="H395" i="9"/>
  <c r="J394" i="9"/>
  <c r="I394" i="9"/>
  <c r="H394" i="9"/>
  <c r="J393" i="9"/>
  <c r="I393" i="9"/>
  <c r="H393" i="9"/>
  <c r="J392" i="9"/>
  <c r="I392" i="9"/>
  <c r="H392" i="9"/>
  <c r="J391" i="9"/>
  <c r="I391" i="9"/>
  <c r="H391" i="9"/>
  <c r="J390" i="9"/>
  <c r="I390" i="9"/>
  <c r="H390" i="9"/>
  <c r="J389" i="9"/>
  <c r="I389" i="9"/>
  <c r="H389" i="9"/>
  <c r="J388" i="9"/>
  <c r="I388" i="9"/>
  <c r="H388" i="9"/>
  <c r="J387" i="9"/>
  <c r="I387" i="9"/>
  <c r="H387" i="9"/>
  <c r="J386" i="9"/>
  <c r="I386" i="9"/>
  <c r="H386" i="9"/>
  <c r="J385" i="9"/>
  <c r="I385" i="9"/>
  <c r="H385" i="9"/>
  <c r="J384" i="9"/>
  <c r="I384" i="9"/>
  <c r="H384" i="9"/>
  <c r="J383" i="9"/>
  <c r="I383" i="9"/>
  <c r="H383" i="9"/>
  <c r="J382" i="9"/>
  <c r="I382" i="9"/>
  <c r="H382" i="9"/>
  <c r="J381" i="9"/>
  <c r="I381" i="9"/>
  <c r="H381" i="9"/>
  <c r="J380" i="9"/>
  <c r="I380" i="9"/>
  <c r="H380" i="9"/>
  <c r="J379" i="9"/>
  <c r="AK119" i="8" s="1"/>
  <c r="I379" i="9"/>
  <c r="H379" i="9"/>
  <c r="J378" i="9"/>
  <c r="I378" i="9"/>
  <c r="H378" i="9"/>
  <c r="Z118" i="8" s="1"/>
  <c r="J377" i="9"/>
  <c r="I377" i="9"/>
  <c r="H377" i="9"/>
  <c r="J376" i="9"/>
  <c r="I376" i="9"/>
  <c r="H376" i="9"/>
  <c r="J375" i="9"/>
  <c r="I375" i="9"/>
  <c r="H375" i="9"/>
  <c r="J374" i="9"/>
  <c r="I374" i="9"/>
  <c r="H374" i="9"/>
  <c r="J373" i="9"/>
  <c r="I373" i="9"/>
  <c r="H373" i="9"/>
  <c r="J372" i="9"/>
  <c r="I372" i="9"/>
  <c r="H372" i="9"/>
  <c r="J371" i="9"/>
  <c r="I371" i="9"/>
  <c r="H371" i="9"/>
  <c r="J370" i="9"/>
  <c r="I370" i="9"/>
  <c r="H370" i="9"/>
  <c r="J369" i="9"/>
  <c r="I369" i="9"/>
  <c r="H369" i="9"/>
  <c r="J368" i="9"/>
  <c r="I368" i="9"/>
  <c r="H368" i="9"/>
  <c r="J367" i="9"/>
  <c r="AK114" i="8" s="1"/>
  <c r="I367" i="9"/>
  <c r="H367" i="9"/>
  <c r="J366" i="9"/>
  <c r="I366" i="9"/>
  <c r="H366" i="9"/>
  <c r="Z114" i="8" s="1"/>
  <c r="J365" i="9"/>
  <c r="I365" i="9"/>
  <c r="H365" i="9"/>
  <c r="J364" i="9"/>
  <c r="I364" i="9"/>
  <c r="H364" i="9"/>
  <c r="J363" i="9"/>
  <c r="I363" i="9"/>
  <c r="H363" i="9"/>
  <c r="J362" i="9"/>
  <c r="I362" i="9"/>
  <c r="H362" i="9"/>
  <c r="J361" i="9"/>
  <c r="I361" i="9"/>
  <c r="H361" i="9"/>
  <c r="J360" i="9"/>
  <c r="I360" i="9"/>
  <c r="H360" i="9"/>
  <c r="J359" i="9"/>
  <c r="I359" i="9"/>
  <c r="H359" i="9"/>
  <c r="J358" i="9"/>
  <c r="I358" i="9"/>
  <c r="H358" i="9"/>
  <c r="J357" i="9"/>
  <c r="I357" i="9"/>
  <c r="H357" i="9"/>
  <c r="J356" i="9"/>
  <c r="I356" i="9"/>
  <c r="H356" i="9"/>
  <c r="J355" i="9"/>
  <c r="AK111" i="8" s="1"/>
  <c r="I355" i="9"/>
  <c r="H355" i="9"/>
  <c r="J354" i="9"/>
  <c r="I354" i="9"/>
  <c r="H354" i="9"/>
  <c r="J353" i="9"/>
  <c r="I353" i="9"/>
  <c r="H353" i="9"/>
  <c r="J352" i="9"/>
  <c r="I352" i="9"/>
  <c r="H352" i="9"/>
  <c r="J351" i="9"/>
  <c r="I351" i="9"/>
  <c r="H351" i="9"/>
  <c r="J350" i="9"/>
  <c r="I350" i="9"/>
  <c r="H350" i="9"/>
  <c r="J349" i="9"/>
  <c r="AK109" i="8" s="1"/>
  <c r="I349" i="9"/>
  <c r="H349" i="9"/>
  <c r="J348" i="9"/>
  <c r="I348" i="9"/>
  <c r="H348" i="9"/>
  <c r="J347" i="9"/>
  <c r="I347" i="9"/>
  <c r="H347" i="9"/>
  <c r="J346" i="9"/>
  <c r="I346" i="9"/>
  <c r="H346" i="9"/>
  <c r="J345" i="9"/>
  <c r="I345" i="9"/>
  <c r="H345" i="9"/>
  <c r="J344" i="9"/>
  <c r="I344" i="9"/>
  <c r="H344" i="9"/>
  <c r="J343" i="9"/>
  <c r="I343" i="9"/>
  <c r="H343" i="9"/>
  <c r="J342" i="9"/>
  <c r="I342" i="9"/>
  <c r="H342" i="9"/>
  <c r="J341" i="9"/>
  <c r="I341" i="9"/>
  <c r="H341" i="9"/>
  <c r="J340" i="9"/>
  <c r="I340" i="9"/>
  <c r="H340" i="9"/>
  <c r="J339" i="9"/>
  <c r="I339" i="9"/>
  <c r="H339" i="9"/>
  <c r="J338" i="9"/>
  <c r="I338" i="9"/>
  <c r="H338" i="9"/>
  <c r="J337" i="9"/>
  <c r="AK106" i="8" s="1"/>
  <c r="I337" i="9"/>
  <c r="H337" i="9"/>
  <c r="J336" i="9"/>
  <c r="I336" i="9"/>
  <c r="H336" i="9"/>
  <c r="J335" i="9"/>
  <c r="I335" i="9"/>
  <c r="H335" i="9"/>
  <c r="J334" i="9"/>
  <c r="AK105" i="8" s="1"/>
  <c r="I334" i="9"/>
  <c r="H334" i="9"/>
  <c r="J333" i="9"/>
  <c r="I333" i="9"/>
  <c r="H333" i="9"/>
  <c r="J332" i="9"/>
  <c r="I332" i="9"/>
  <c r="H332" i="9"/>
  <c r="J331" i="9"/>
  <c r="I331" i="9"/>
  <c r="H331" i="9"/>
  <c r="J330" i="9"/>
  <c r="I330" i="9"/>
  <c r="H330" i="9"/>
  <c r="J329" i="9"/>
  <c r="I329" i="9"/>
  <c r="H329" i="9"/>
  <c r="J328" i="9"/>
  <c r="I328" i="9"/>
  <c r="H328" i="9"/>
  <c r="J327" i="9"/>
  <c r="I327" i="9"/>
  <c r="H327" i="9"/>
  <c r="J326" i="9"/>
  <c r="I326" i="9"/>
  <c r="H326" i="9"/>
  <c r="J325" i="9"/>
  <c r="I325" i="9"/>
  <c r="H325" i="9"/>
  <c r="J324" i="9"/>
  <c r="I324" i="9"/>
  <c r="H324" i="9"/>
  <c r="J323" i="9"/>
  <c r="I323" i="9"/>
  <c r="H323" i="9"/>
  <c r="J322" i="9"/>
  <c r="I322" i="9"/>
  <c r="H322" i="9"/>
  <c r="J321" i="9"/>
  <c r="I321" i="9"/>
  <c r="H321" i="9"/>
  <c r="J320" i="9"/>
  <c r="I320" i="9"/>
  <c r="H320" i="9"/>
  <c r="J319" i="9"/>
  <c r="AK101" i="8" s="1"/>
  <c r="I319" i="9"/>
  <c r="H319" i="9"/>
  <c r="J318" i="9"/>
  <c r="I318" i="9"/>
  <c r="H318" i="9"/>
  <c r="J317" i="9"/>
  <c r="I317" i="9"/>
  <c r="H317" i="9"/>
  <c r="J316" i="9"/>
  <c r="I316" i="9"/>
  <c r="H316" i="9"/>
  <c r="J315" i="9"/>
  <c r="I315" i="9"/>
  <c r="H315" i="9"/>
  <c r="J314" i="9"/>
  <c r="I314" i="9"/>
  <c r="H314" i="9"/>
  <c r="J313" i="9"/>
  <c r="AK99" i="8" s="1"/>
  <c r="I313" i="9"/>
  <c r="H313" i="9"/>
  <c r="J312" i="9"/>
  <c r="I312" i="9"/>
  <c r="H312" i="9"/>
  <c r="J311" i="9"/>
  <c r="I311" i="9"/>
  <c r="H311" i="9"/>
  <c r="J310" i="9"/>
  <c r="I310" i="9"/>
  <c r="H310" i="9"/>
  <c r="J309" i="9"/>
  <c r="I309" i="9"/>
  <c r="H309" i="9"/>
  <c r="J308" i="9"/>
  <c r="I308" i="9"/>
  <c r="H308" i="9"/>
  <c r="J307" i="9"/>
  <c r="AK97" i="8" s="1"/>
  <c r="I307" i="9"/>
  <c r="H307" i="9"/>
  <c r="J306" i="9"/>
  <c r="I306" i="9"/>
  <c r="H306" i="9"/>
  <c r="J305" i="9"/>
  <c r="I305" i="9"/>
  <c r="H305" i="9"/>
  <c r="J304" i="9"/>
  <c r="I304" i="9"/>
  <c r="H304" i="9"/>
  <c r="J303" i="9"/>
  <c r="I303" i="9"/>
  <c r="H303" i="9"/>
  <c r="J302" i="9"/>
  <c r="I302" i="9"/>
  <c r="H302" i="9"/>
  <c r="J301" i="9"/>
  <c r="I301" i="9"/>
  <c r="H301" i="9"/>
  <c r="J300" i="9"/>
  <c r="I300" i="9"/>
  <c r="H300" i="9"/>
  <c r="J299" i="9"/>
  <c r="I299" i="9"/>
  <c r="H299" i="9"/>
  <c r="J298" i="9"/>
  <c r="I298" i="9"/>
  <c r="H298" i="9"/>
  <c r="J297" i="9"/>
  <c r="I297" i="9"/>
  <c r="H297" i="9"/>
  <c r="J296" i="9"/>
  <c r="I296" i="9"/>
  <c r="H296" i="9"/>
  <c r="J295" i="9"/>
  <c r="I295" i="9"/>
  <c r="H295" i="9"/>
  <c r="J294" i="9"/>
  <c r="I294" i="9"/>
  <c r="H294" i="9"/>
  <c r="J293" i="9"/>
  <c r="I293" i="9"/>
  <c r="H293" i="9"/>
  <c r="J292" i="9"/>
  <c r="I292" i="9"/>
  <c r="H292" i="9"/>
  <c r="J291" i="9"/>
  <c r="I291" i="9"/>
  <c r="H291" i="9"/>
  <c r="J290" i="9"/>
  <c r="I290" i="9"/>
  <c r="H290" i="9"/>
  <c r="J289" i="9"/>
  <c r="I289" i="9"/>
  <c r="H289" i="9"/>
  <c r="J288" i="9"/>
  <c r="I288" i="9"/>
  <c r="H288" i="9"/>
  <c r="J287" i="9"/>
  <c r="I287" i="9"/>
  <c r="H287" i="9"/>
  <c r="J286" i="9"/>
  <c r="I286" i="9"/>
  <c r="H286" i="9"/>
  <c r="J285" i="9"/>
  <c r="I285" i="9"/>
  <c r="H285" i="9"/>
  <c r="J284" i="9"/>
  <c r="I284" i="9"/>
  <c r="H284" i="9"/>
  <c r="J283" i="9"/>
  <c r="I283" i="9"/>
  <c r="H283" i="9"/>
  <c r="J282" i="9"/>
  <c r="I282" i="9"/>
  <c r="H282" i="9"/>
  <c r="J281" i="9"/>
  <c r="I281" i="9"/>
  <c r="H281" i="9"/>
  <c r="J280" i="9"/>
  <c r="I280" i="9"/>
  <c r="H280" i="9"/>
  <c r="J279" i="9"/>
  <c r="I279" i="9"/>
  <c r="H279" i="9"/>
  <c r="J278" i="9"/>
  <c r="I278" i="9"/>
  <c r="H278" i="9"/>
  <c r="J277" i="9"/>
  <c r="I277" i="9"/>
  <c r="H277" i="9"/>
  <c r="J276" i="9"/>
  <c r="I276" i="9"/>
  <c r="H276" i="9"/>
  <c r="J275" i="9"/>
  <c r="I275" i="9"/>
  <c r="H275" i="9"/>
  <c r="J274" i="9"/>
  <c r="I274" i="9"/>
  <c r="H274" i="9"/>
  <c r="J273" i="9"/>
  <c r="I273" i="9"/>
  <c r="H273" i="9"/>
  <c r="J272" i="9"/>
  <c r="I272" i="9"/>
  <c r="H272" i="9"/>
  <c r="J271" i="9"/>
  <c r="I271" i="9"/>
  <c r="H271" i="9"/>
  <c r="J270" i="9"/>
  <c r="I270" i="9"/>
  <c r="H270" i="9"/>
  <c r="J269" i="9"/>
  <c r="I269" i="9"/>
  <c r="H269" i="9"/>
  <c r="J268" i="9"/>
  <c r="I268" i="9"/>
  <c r="H268" i="9"/>
  <c r="J267" i="9"/>
  <c r="I267" i="9"/>
  <c r="H267" i="9"/>
  <c r="J266" i="9"/>
  <c r="I266" i="9"/>
  <c r="H266" i="9"/>
  <c r="J265" i="9"/>
  <c r="I265" i="9"/>
  <c r="H265" i="9"/>
  <c r="J264" i="9"/>
  <c r="I264" i="9"/>
  <c r="H264" i="9"/>
  <c r="J263" i="9"/>
  <c r="I263" i="9"/>
  <c r="H263" i="9"/>
  <c r="J262" i="9"/>
  <c r="I262" i="9"/>
  <c r="H262" i="9"/>
  <c r="J261" i="9"/>
  <c r="I261" i="9"/>
  <c r="H261" i="9"/>
  <c r="J260" i="9"/>
  <c r="I260" i="9"/>
  <c r="H260" i="9"/>
  <c r="J259" i="9"/>
  <c r="I259" i="9"/>
  <c r="H259" i="9"/>
  <c r="J258" i="9"/>
  <c r="I258" i="9"/>
  <c r="H258" i="9"/>
  <c r="J257" i="9"/>
  <c r="I257" i="9"/>
  <c r="H257" i="9"/>
  <c r="J256" i="9"/>
  <c r="I256" i="9"/>
  <c r="H256" i="9"/>
  <c r="J255" i="9"/>
  <c r="I255" i="9"/>
  <c r="H255" i="9"/>
  <c r="J254" i="9"/>
  <c r="I254" i="9"/>
  <c r="H254" i="9"/>
  <c r="J253" i="9"/>
  <c r="I253" i="9"/>
  <c r="H253" i="9"/>
  <c r="J252" i="9"/>
  <c r="I252" i="9"/>
  <c r="H252" i="9"/>
  <c r="J251" i="9"/>
  <c r="I251" i="9"/>
  <c r="H251" i="9"/>
  <c r="J250" i="9"/>
  <c r="I250" i="9"/>
  <c r="H250" i="9"/>
  <c r="J249" i="9"/>
  <c r="I249" i="9"/>
  <c r="H249" i="9"/>
  <c r="J248" i="9"/>
  <c r="I248" i="9"/>
  <c r="H248" i="9"/>
  <c r="J247" i="9"/>
  <c r="I247" i="9"/>
  <c r="H247" i="9"/>
  <c r="J246" i="9"/>
  <c r="I246" i="9"/>
  <c r="H246" i="9"/>
  <c r="J245" i="9"/>
  <c r="I245" i="9"/>
  <c r="H245" i="9"/>
  <c r="J244" i="9"/>
  <c r="I244" i="9"/>
  <c r="H244" i="9"/>
  <c r="J243" i="9"/>
  <c r="I243" i="9"/>
  <c r="H243" i="9"/>
  <c r="J242" i="9"/>
  <c r="I242" i="9"/>
  <c r="H242" i="9"/>
  <c r="J241" i="9"/>
  <c r="I241" i="9"/>
  <c r="H241" i="9"/>
  <c r="J240" i="9"/>
  <c r="I240" i="9"/>
  <c r="H240" i="9"/>
  <c r="J239" i="9"/>
  <c r="I239" i="9"/>
  <c r="H239" i="9"/>
  <c r="J238" i="9"/>
  <c r="I238" i="9"/>
  <c r="H238" i="9"/>
  <c r="J237" i="9"/>
  <c r="I237" i="9"/>
  <c r="H237" i="9"/>
  <c r="J236" i="9"/>
  <c r="I236" i="9"/>
  <c r="H236" i="9"/>
  <c r="J235" i="9"/>
  <c r="I235" i="9"/>
  <c r="H235" i="9"/>
  <c r="J234" i="9"/>
  <c r="I234" i="9"/>
  <c r="H234" i="9"/>
  <c r="J233" i="9"/>
  <c r="I233" i="9"/>
  <c r="H233" i="9"/>
  <c r="J232" i="9"/>
  <c r="I232" i="9"/>
  <c r="H232" i="9"/>
  <c r="J231" i="9"/>
  <c r="I231" i="9"/>
  <c r="H231" i="9"/>
  <c r="J230" i="9"/>
  <c r="I230" i="9"/>
  <c r="H230" i="9"/>
  <c r="J229" i="9"/>
  <c r="I229" i="9"/>
  <c r="H229" i="9"/>
  <c r="J228" i="9"/>
  <c r="I228" i="9"/>
  <c r="H228" i="9"/>
  <c r="J227" i="9"/>
  <c r="I227" i="9"/>
  <c r="H227" i="9"/>
  <c r="J226" i="9"/>
  <c r="I226" i="9"/>
  <c r="H226" i="9"/>
  <c r="J225" i="9"/>
  <c r="I225" i="9"/>
  <c r="H225" i="9"/>
  <c r="J224" i="9"/>
  <c r="I224" i="9"/>
  <c r="H224" i="9"/>
  <c r="J223" i="9"/>
  <c r="I223" i="9"/>
  <c r="H223" i="9"/>
  <c r="J222" i="9"/>
  <c r="I222" i="9"/>
  <c r="H222" i="9"/>
  <c r="J221" i="9"/>
  <c r="I221" i="9"/>
  <c r="H221" i="9"/>
  <c r="J220" i="9"/>
  <c r="I220" i="9"/>
  <c r="H220" i="9"/>
  <c r="J219" i="9"/>
  <c r="I219" i="9"/>
  <c r="H219" i="9"/>
  <c r="J218" i="9"/>
  <c r="I218" i="9"/>
  <c r="H218" i="9"/>
  <c r="J217" i="9"/>
  <c r="I217" i="9"/>
  <c r="H217" i="9"/>
  <c r="J216" i="9"/>
  <c r="I216" i="9"/>
  <c r="H216" i="9"/>
  <c r="J215" i="9"/>
  <c r="I215" i="9"/>
  <c r="H215" i="9"/>
  <c r="J214" i="9"/>
  <c r="I214" i="9"/>
  <c r="H214" i="9"/>
  <c r="J213" i="9"/>
  <c r="I213" i="9"/>
  <c r="H213" i="9"/>
  <c r="J212" i="9"/>
  <c r="I212" i="9"/>
  <c r="H212" i="9"/>
  <c r="J211" i="9"/>
  <c r="I211" i="9"/>
  <c r="H211" i="9"/>
  <c r="J210" i="9"/>
  <c r="I210" i="9"/>
  <c r="H210" i="9"/>
  <c r="J209" i="9"/>
  <c r="I209" i="9"/>
  <c r="H209" i="9"/>
  <c r="J208" i="9"/>
  <c r="I208" i="9"/>
  <c r="H208" i="9"/>
  <c r="J207" i="9"/>
  <c r="I207" i="9"/>
  <c r="H207" i="9"/>
  <c r="J206" i="9"/>
  <c r="I206" i="9"/>
  <c r="H206" i="9"/>
  <c r="J205" i="9"/>
  <c r="I205" i="9"/>
  <c r="H205" i="9"/>
  <c r="J204" i="9"/>
  <c r="I204" i="9"/>
  <c r="H204" i="9"/>
  <c r="J203" i="9"/>
  <c r="I203" i="9"/>
  <c r="H203" i="9"/>
  <c r="J202" i="9"/>
  <c r="I202" i="9"/>
  <c r="H202" i="9"/>
  <c r="J201" i="9"/>
  <c r="I201" i="9"/>
  <c r="H201" i="9"/>
  <c r="J200" i="9"/>
  <c r="I200" i="9"/>
  <c r="H200" i="9"/>
  <c r="J199" i="9"/>
  <c r="I199" i="9"/>
  <c r="H199" i="9"/>
  <c r="J198" i="9"/>
  <c r="I198" i="9"/>
  <c r="H198" i="9"/>
  <c r="J197" i="9"/>
  <c r="I197" i="9"/>
  <c r="H197" i="9"/>
  <c r="J196" i="9"/>
  <c r="I196" i="9"/>
  <c r="H196" i="9"/>
  <c r="J195" i="9"/>
  <c r="I195" i="9"/>
  <c r="H195" i="9"/>
  <c r="J194" i="9"/>
  <c r="I194" i="9"/>
  <c r="H194" i="9"/>
  <c r="J193" i="9"/>
  <c r="I193" i="9"/>
  <c r="H193" i="9"/>
  <c r="J192" i="9"/>
  <c r="I192" i="9"/>
  <c r="H192" i="9"/>
  <c r="J191" i="9"/>
  <c r="I191" i="9"/>
  <c r="H191" i="9"/>
  <c r="J190" i="9"/>
  <c r="I190" i="9"/>
  <c r="H190" i="9"/>
  <c r="J189" i="9"/>
  <c r="I189" i="9"/>
  <c r="H189" i="9"/>
  <c r="J188" i="9"/>
  <c r="I188" i="9"/>
  <c r="H188" i="9"/>
  <c r="J187" i="9"/>
  <c r="I187" i="9"/>
  <c r="H187" i="9"/>
  <c r="J186" i="9"/>
  <c r="I186" i="9"/>
  <c r="H186" i="9"/>
  <c r="J185" i="9"/>
  <c r="I185" i="9"/>
  <c r="H185" i="9"/>
  <c r="J184" i="9"/>
  <c r="I184" i="9"/>
  <c r="H184" i="9"/>
  <c r="J183" i="9"/>
  <c r="I183" i="9"/>
  <c r="H183" i="9"/>
  <c r="J182" i="9"/>
  <c r="I182" i="9"/>
  <c r="H182" i="9"/>
  <c r="J181" i="9"/>
  <c r="I181" i="9"/>
  <c r="H181" i="9"/>
  <c r="J180" i="9"/>
  <c r="I180" i="9"/>
  <c r="H180" i="9"/>
  <c r="J179" i="9"/>
  <c r="I179" i="9"/>
  <c r="H179" i="9"/>
  <c r="J178" i="9"/>
  <c r="I178" i="9"/>
  <c r="H178" i="9"/>
  <c r="J177" i="9"/>
  <c r="I177" i="9"/>
  <c r="H177" i="9"/>
  <c r="J176" i="9"/>
  <c r="I176" i="9"/>
  <c r="H176" i="9"/>
  <c r="J175" i="9"/>
  <c r="I175" i="9"/>
  <c r="H175" i="9"/>
  <c r="J174" i="9"/>
  <c r="I174" i="9"/>
  <c r="H174" i="9"/>
  <c r="J173" i="9"/>
  <c r="I173" i="9"/>
  <c r="H173" i="9"/>
  <c r="J172" i="9"/>
  <c r="I172" i="9"/>
  <c r="H172" i="9"/>
  <c r="J171" i="9"/>
  <c r="I171" i="9"/>
  <c r="H171" i="9"/>
  <c r="J170" i="9"/>
  <c r="I170" i="9"/>
  <c r="H170" i="9"/>
  <c r="J169" i="9"/>
  <c r="I169" i="9"/>
  <c r="H169" i="9"/>
  <c r="J168" i="9"/>
  <c r="I168" i="9"/>
  <c r="H168" i="9"/>
  <c r="J167" i="9"/>
  <c r="I167" i="9"/>
  <c r="H167" i="9"/>
  <c r="J166" i="9"/>
  <c r="I166" i="9"/>
  <c r="H166" i="9"/>
  <c r="J165" i="9"/>
  <c r="I165" i="9"/>
  <c r="H165" i="9"/>
  <c r="J164" i="9"/>
  <c r="I164" i="9"/>
  <c r="H164" i="9"/>
  <c r="J163" i="9"/>
  <c r="I163" i="9"/>
  <c r="H163" i="9"/>
  <c r="J162" i="9"/>
  <c r="I162" i="9"/>
  <c r="H162" i="9"/>
  <c r="J161" i="9"/>
  <c r="I161" i="9"/>
  <c r="H161" i="9"/>
  <c r="J160" i="9"/>
  <c r="I160" i="9"/>
  <c r="H160" i="9"/>
  <c r="J159" i="9"/>
  <c r="I159" i="9"/>
  <c r="H159" i="9"/>
  <c r="J158" i="9"/>
  <c r="I158" i="9"/>
  <c r="H158" i="9"/>
  <c r="J157" i="9"/>
  <c r="I157" i="9"/>
  <c r="H157" i="9"/>
  <c r="J156" i="9"/>
  <c r="I156" i="9"/>
  <c r="H156" i="9"/>
  <c r="J155" i="9"/>
  <c r="I155" i="9"/>
  <c r="H155" i="9"/>
  <c r="J154" i="9"/>
  <c r="I154" i="9"/>
  <c r="H154" i="9"/>
  <c r="J153" i="9"/>
  <c r="I153" i="9"/>
  <c r="H153" i="9"/>
  <c r="J152" i="9"/>
  <c r="I152" i="9"/>
  <c r="H152" i="9"/>
  <c r="J151" i="9"/>
  <c r="I151" i="9"/>
  <c r="H151" i="9"/>
  <c r="J150" i="9"/>
  <c r="I150" i="9"/>
  <c r="H150" i="9"/>
  <c r="J149" i="9"/>
  <c r="I149" i="9"/>
  <c r="H149" i="9"/>
  <c r="J148" i="9"/>
  <c r="I148" i="9"/>
  <c r="H148" i="9"/>
  <c r="J147" i="9"/>
  <c r="I147" i="9"/>
  <c r="H147" i="9"/>
  <c r="J146" i="9"/>
  <c r="I146" i="9"/>
  <c r="H146" i="9"/>
  <c r="J145" i="9"/>
  <c r="I145" i="9"/>
  <c r="H145" i="9"/>
  <c r="J144" i="9"/>
  <c r="I144" i="9"/>
  <c r="H144" i="9"/>
  <c r="J143" i="9"/>
  <c r="I143" i="9"/>
  <c r="H143" i="9"/>
  <c r="J142" i="9"/>
  <c r="I142" i="9"/>
  <c r="H142" i="9"/>
  <c r="J141" i="9"/>
  <c r="I141" i="9"/>
  <c r="H141" i="9"/>
  <c r="J140" i="9"/>
  <c r="I140" i="9"/>
  <c r="H140" i="9"/>
  <c r="J139" i="9"/>
  <c r="I139" i="9"/>
  <c r="H139" i="9"/>
  <c r="J138" i="9"/>
  <c r="I138" i="9"/>
  <c r="H138" i="9"/>
  <c r="J137" i="9"/>
  <c r="I137" i="9"/>
  <c r="H137" i="9"/>
  <c r="J136" i="9"/>
  <c r="I136" i="9"/>
  <c r="H136" i="9"/>
  <c r="J135" i="9"/>
  <c r="I135" i="9"/>
  <c r="H135" i="9"/>
  <c r="J134" i="9"/>
  <c r="I134" i="9"/>
  <c r="H134" i="9"/>
  <c r="J133" i="9"/>
  <c r="I133" i="9"/>
  <c r="H133" i="9"/>
  <c r="J132" i="9"/>
  <c r="I132" i="9"/>
  <c r="H132" i="9"/>
  <c r="J131" i="9"/>
  <c r="I131" i="9"/>
  <c r="H131" i="9"/>
  <c r="J130" i="9"/>
  <c r="I130" i="9"/>
  <c r="H130" i="9"/>
  <c r="J129" i="9"/>
  <c r="I129" i="9"/>
  <c r="H129" i="9"/>
  <c r="J128" i="9"/>
  <c r="I128" i="9"/>
  <c r="H128" i="9"/>
  <c r="J127" i="9"/>
  <c r="I127" i="9"/>
  <c r="H127" i="9"/>
  <c r="J126" i="9"/>
  <c r="I126" i="9"/>
  <c r="H126" i="9"/>
  <c r="J125" i="9"/>
  <c r="I125" i="9"/>
  <c r="H125" i="9"/>
  <c r="J124" i="9"/>
  <c r="I124" i="9"/>
  <c r="H124" i="9"/>
  <c r="J123" i="9"/>
  <c r="I123" i="9"/>
  <c r="H123" i="9"/>
  <c r="J122" i="9"/>
  <c r="I122" i="9"/>
  <c r="H122" i="9"/>
  <c r="J121" i="9"/>
  <c r="I121" i="9"/>
  <c r="H121" i="9"/>
  <c r="J120" i="9"/>
  <c r="I120" i="9"/>
  <c r="H120" i="9"/>
  <c r="J119" i="9"/>
  <c r="I119" i="9"/>
  <c r="H119" i="9"/>
  <c r="J118" i="9"/>
  <c r="I118" i="9"/>
  <c r="H118" i="9"/>
  <c r="J117" i="9"/>
  <c r="I117" i="9"/>
  <c r="H117" i="9"/>
  <c r="J116" i="9"/>
  <c r="I116" i="9"/>
  <c r="H116" i="9"/>
  <c r="J115" i="9"/>
  <c r="I115" i="9"/>
  <c r="H115" i="9"/>
  <c r="J114" i="9"/>
  <c r="I114" i="9"/>
  <c r="H114" i="9"/>
  <c r="J113" i="9"/>
  <c r="I113" i="9"/>
  <c r="H113" i="9"/>
  <c r="J112" i="9"/>
  <c r="I112" i="9"/>
  <c r="H112" i="9"/>
  <c r="J111" i="9"/>
  <c r="I111" i="9"/>
  <c r="H111" i="9"/>
  <c r="J110" i="9"/>
  <c r="I110" i="9"/>
  <c r="H110" i="9"/>
  <c r="J109" i="9"/>
  <c r="I109" i="9"/>
  <c r="H109" i="9"/>
  <c r="J108" i="9"/>
  <c r="I108" i="9"/>
  <c r="H108" i="9"/>
  <c r="J107" i="9"/>
  <c r="I107" i="9"/>
  <c r="H107" i="9"/>
  <c r="J106" i="9"/>
  <c r="I106" i="9"/>
  <c r="H106" i="9"/>
  <c r="J105" i="9"/>
  <c r="I105" i="9"/>
  <c r="H105" i="9"/>
  <c r="J104" i="9"/>
  <c r="I104" i="9"/>
  <c r="H104" i="9"/>
  <c r="J103" i="9"/>
  <c r="I103" i="9"/>
  <c r="H103" i="9"/>
  <c r="J102" i="9"/>
  <c r="I102" i="9"/>
  <c r="H102" i="9"/>
  <c r="J101" i="9"/>
  <c r="I101" i="9"/>
  <c r="H101" i="9"/>
  <c r="J100" i="9"/>
  <c r="I100" i="9"/>
  <c r="H100" i="9"/>
  <c r="J99" i="9"/>
  <c r="I99" i="9"/>
  <c r="H99" i="9"/>
  <c r="J98" i="9"/>
  <c r="I98" i="9"/>
  <c r="H98" i="9"/>
  <c r="J97" i="9"/>
  <c r="I97" i="9"/>
  <c r="H97" i="9"/>
  <c r="J96" i="9"/>
  <c r="I96" i="9"/>
  <c r="H96" i="9"/>
  <c r="J95" i="9"/>
  <c r="I95" i="9"/>
  <c r="H95" i="9"/>
  <c r="J94" i="9"/>
  <c r="I94" i="9"/>
  <c r="H94" i="9"/>
  <c r="J93" i="9"/>
  <c r="I93" i="9"/>
  <c r="H93" i="9"/>
  <c r="J92" i="9"/>
  <c r="I92" i="9"/>
  <c r="H92" i="9"/>
  <c r="J91" i="9"/>
  <c r="I91" i="9"/>
  <c r="H91" i="9"/>
  <c r="J90" i="9"/>
  <c r="I90" i="9"/>
  <c r="H90" i="9"/>
  <c r="J89" i="9"/>
  <c r="I89" i="9"/>
  <c r="H89" i="9"/>
  <c r="J88" i="9"/>
  <c r="I88" i="9"/>
  <c r="H88" i="9"/>
  <c r="J87" i="9"/>
  <c r="I87" i="9"/>
  <c r="H87" i="9"/>
  <c r="J86" i="9"/>
  <c r="I86" i="9"/>
  <c r="H86" i="9"/>
  <c r="J85" i="9"/>
  <c r="I85" i="9"/>
  <c r="H85" i="9"/>
  <c r="J84" i="9"/>
  <c r="I84" i="9"/>
  <c r="H84" i="9"/>
  <c r="J83" i="9"/>
  <c r="I83" i="9"/>
  <c r="H83" i="9"/>
  <c r="J82" i="9"/>
  <c r="I82" i="9"/>
  <c r="H82" i="9"/>
  <c r="J81" i="9"/>
  <c r="I81" i="9"/>
  <c r="H81" i="9"/>
  <c r="J80" i="9"/>
  <c r="I80" i="9"/>
  <c r="H80" i="9"/>
  <c r="J79" i="9"/>
  <c r="I79" i="9"/>
  <c r="H79" i="9"/>
  <c r="J78" i="9"/>
  <c r="I78" i="9"/>
  <c r="H78" i="9"/>
  <c r="J77" i="9"/>
  <c r="I77" i="9"/>
  <c r="H77" i="9"/>
  <c r="J76" i="9"/>
  <c r="I76" i="9"/>
  <c r="H76" i="9"/>
  <c r="J75" i="9"/>
  <c r="I75" i="9"/>
  <c r="H75" i="9"/>
  <c r="J74" i="9"/>
  <c r="I74" i="9"/>
  <c r="H74" i="9"/>
  <c r="J73" i="9"/>
  <c r="I73" i="9"/>
  <c r="H73" i="9"/>
  <c r="J72" i="9"/>
  <c r="I72" i="9"/>
  <c r="H72" i="9"/>
  <c r="J71" i="9"/>
  <c r="I71" i="9"/>
  <c r="H71" i="9"/>
  <c r="J70" i="9"/>
  <c r="I70" i="9"/>
  <c r="H70" i="9"/>
  <c r="J69" i="9"/>
  <c r="I69" i="9"/>
  <c r="H69" i="9"/>
  <c r="J68" i="9"/>
  <c r="I68" i="9"/>
  <c r="H68" i="9"/>
  <c r="J67" i="9"/>
  <c r="I67" i="9"/>
  <c r="H67" i="9"/>
  <c r="J66" i="9"/>
  <c r="I66" i="9"/>
  <c r="H66" i="9"/>
  <c r="J65" i="9"/>
  <c r="I65" i="9"/>
  <c r="H65" i="9"/>
  <c r="J64" i="9"/>
  <c r="I64" i="9"/>
  <c r="H64" i="9"/>
  <c r="J63" i="9"/>
  <c r="I63" i="9"/>
  <c r="H63" i="9"/>
  <c r="J62" i="9"/>
  <c r="I62" i="9"/>
  <c r="H62" i="9"/>
  <c r="J61" i="9"/>
  <c r="I61" i="9"/>
  <c r="H61" i="9"/>
  <c r="J60" i="9"/>
  <c r="I60" i="9"/>
  <c r="H60" i="9"/>
  <c r="J59" i="9"/>
  <c r="I59" i="9"/>
  <c r="H59" i="9"/>
  <c r="J58" i="9"/>
  <c r="I58" i="9"/>
  <c r="H58" i="9"/>
  <c r="J57" i="9"/>
  <c r="I57" i="9"/>
  <c r="H57" i="9"/>
  <c r="J56" i="9"/>
  <c r="I56" i="9"/>
  <c r="H56" i="9"/>
  <c r="J55" i="9"/>
  <c r="I55" i="9"/>
  <c r="H55" i="9"/>
  <c r="J54" i="9"/>
  <c r="I54" i="9"/>
  <c r="H54" i="9"/>
  <c r="J53" i="9"/>
  <c r="I53" i="9"/>
  <c r="H53" i="9"/>
  <c r="J52" i="9"/>
  <c r="I52" i="9"/>
  <c r="H52" i="9"/>
  <c r="J51" i="9"/>
  <c r="I51" i="9"/>
  <c r="H51" i="9"/>
  <c r="J50" i="9"/>
  <c r="I50" i="9"/>
  <c r="H50" i="9"/>
  <c r="J49" i="9"/>
  <c r="I49" i="9"/>
  <c r="H49" i="9"/>
  <c r="J48" i="9"/>
  <c r="I48" i="9"/>
  <c r="H48" i="9"/>
  <c r="J47" i="9"/>
  <c r="I47" i="9"/>
  <c r="H47" i="9"/>
  <c r="J46" i="9"/>
  <c r="I46" i="9"/>
  <c r="H46" i="9"/>
  <c r="J45" i="9"/>
  <c r="I45" i="9"/>
  <c r="H45" i="9"/>
  <c r="J44" i="9"/>
  <c r="I44" i="9"/>
  <c r="H44" i="9"/>
  <c r="J43" i="9"/>
  <c r="I43" i="9"/>
  <c r="H43" i="9"/>
  <c r="J42" i="9"/>
  <c r="I42" i="9"/>
  <c r="H42" i="9"/>
  <c r="J41" i="9"/>
  <c r="I41" i="9"/>
  <c r="H41" i="9"/>
  <c r="J40" i="9"/>
  <c r="I40" i="9"/>
  <c r="H40" i="9"/>
  <c r="J39" i="9"/>
  <c r="I39" i="9"/>
  <c r="H39" i="9"/>
  <c r="J38" i="9"/>
  <c r="I38" i="9"/>
  <c r="H38" i="9"/>
  <c r="J37" i="9"/>
  <c r="I37" i="9"/>
  <c r="H37" i="9"/>
  <c r="J36" i="9"/>
  <c r="I36" i="9"/>
  <c r="H36" i="9"/>
  <c r="J35" i="9"/>
  <c r="I35" i="9"/>
  <c r="H35" i="9"/>
  <c r="J34" i="9"/>
  <c r="I34" i="9"/>
  <c r="H34" i="9"/>
  <c r="J33" i="9"/>
  <c r="I33" i="9"/>
  <c r="H33" i="9"/>
  <c r="J32" i="9"/>
  <c r="I32" i="9"/>
  <c r="H32" i="9"/>
  <c r="J31" i="9"/>
  <c r="I31" i="9"/>
  <c r="H31" i="9"/>
  <c r="J30" i="9"/>
  <c r="I30" i="9"/>
  <c r="H30" i="9"/>
  <c r="J29" i="9"/>
  <c r="I29" i="9"/>
  <c r="H29" i="9"/>
  <c r="J28" i="9"/>
  <c r="I28" i="9"/>
  <c r="H28" i="9"/>
  <c r="J27" i="9"/>
  <c r="I27" i="9"/>
  <c r="H27" i="9"/>
  <c r="J26" i="9"/>
  <c r="I26" i="9"/>
  <c r="H26" i="9"/>
  <c r="J25" i="9"/>
  <c r="I25" i="9"/>
  <c r="H25" i="9"/>
  <c r="J24" i="9"/>
  <c r="I24" i="9"/>
  <c r="H24" i="9"/>
  <c r="J23" i="9"/>
  <c r="I23" i="9"/>
  <c r="H23" i="9"/>
  <c r="J22" i="9"/>
  <c r="I22" i="9"/>
  <c r="H22" i="9"/>
  <c r="J21" i="9"/>
  <c r="I21" i="9"/>
  <c r="H21" i="9"/>
  <c r="J20" i="9"/>
  <c r="I20" i="9"/>
  <c r="H20" i="9"/>
  <c r="J19" i="9"/>
  <c r="I19" i="9"/>
  <c r="H19" i="9"/>
  <c r="J18" i="9"/>
  <c r="I18" i="9"/>
  <c r="H18" i="9"/>
  <c r="J17" i="9"/>
  <c r="I17" i="9"/>
  <c r="H17" i="9"/>
  <c r="J16" i="9"/>
  <c r="I16" i="9"/>
  <c r="H16" i="9"/>
  <c r="J15" i="9"/>
  <c r="I15" i="9"/>
  <c r="H15" i="9"/>
  <c r="J14" i="9"/>
  <c r="I14" i="9"/>
  <c r="H14" i="9"/>
  <c r="J13" i="9"/>
  <c r="I13" i="9"/>
  <c r="H13" i="9"/>
  <c r="J12" i="9"/>
  <c r="I12" i="9"/>
  <c r="H12" i="9"/>
  <c r="J11" i="9"/>
  <c r="I11" i="9"/>
  <c r="H11" i="9"/>
  <c r="J10" i="9"/>
  <c r="I10" i="9"/>
  <c r="H10" i="9"/>
  <c r="J9" i="9"/>
  <c r="I9" i="9"/>
  <c r="H9" i="9"/>
  <c r="J8" i="9"/>
  <c r="I8" i="9"/>
  <c r="H8" i="9"/>
  <c r="J7" i="9"/>
  <c r="I7" i="9"/>
  <c r="H7" i="9"/>
  <c r="J6" i="9"/>
  <c r="I6" i="9"/>
  <c r="H6" i="9"/>
  <c r="J5" i="9"/>
  <c r="I5" i="9"/>
  <c r="H5" i="9"/>
  <c r="J4" i="9"/>
  <c r="I4" i="9"/>
  <c r="H4" i="9"/>
  <c r="J3" i="9"/>
  <c r="I3" i="9"/>
  <c r="H3" i="9"/>
  <c r="J2" i="9"/>
  <c r="I2" i="9"/>
  <c r="H2" i="9"/>
  <c r="AO181" i="8"/>
  <c r="AN181" i="8"/>
  <c r="AM181" i="8"/>
  <c r="AL181" i="8"/>
  <c r="AJ181" i="8"/>
  <c r="AI181" i="8"/>
  <c r="AH181" i="8"/>
  <c r="AG181" i="8"/>
  <c r="AF181" i="8"/>
  <c r="AE181" i="8"/>
  <c r="AD181" i="8"/>
  <c r="X181" i="8"/>
  <c r="W181" i="8"/>
  <c r="V181" i="8"/>
  <c r="L181" i="8"/>
  <c r="AP180" i="8"/>
  <c r="AK180" i="8"/>
  <c r="AJ180" i="8"/>
  <c r="AO180" i="8" s="1"/>
  <c r="AI180" i="8"/>
  <c r="AH180" i="8"/>
  <c r="AG180" i="8"/>
  <c r="AF180" i="8"/>
  <c r="AE180" i="8"/>
  <c r="AD180" i="8"/>
  <c r="AL180" i="8" s="1"/>
  <c r="Z180" i="8"/>
  <c r="X180" i="8"/>
  <c r="W180" i="8"/>
  <c r="V180" i="8"/>
  <c r="AK179" i="8"/>
  <c r="AJ179" i="8"/>
  <c r="AO179" i="8" s="1"/>
  <c r="AI179" i="8"/>
  <c r="AH179" i="8"/>
  <c r="AN179" i="8" s="1"/>
  <c r="AG179" i="8"/>
  <c r="AF179" i="8"/>
  <c r="AE179" i="8"/>
  <c r="AD179" i="8"/>
  <c r="AA179" i="8"/>
  <c r="Z179" i="8"/>
  <c r="Y179" i="8"/>
  <c r="X179" i="8"/>
  <c r="W179" i="8"/>
  <c r="V179" i="8"/>
  <c r="P179" i="8"/>
  <c r="L179" i="8"/>
  <c r="AP178" i="8"/>
  <c r="AN178" i="8"/>
  <c r="AK178" i="8"/>
  <c r="AJ178" i="8"/>
  <c r="AO178" i="8" s="1"/>
  <c r="AI178" i="8"/>
  <c r="AH178" i="8"/>
  <c r="AG178" i="8"/>
  <c r="AF178" i="8"/>
  <c r="AE178" i="8"/>
  <c r="AD178" i="8"/>
  <c r="Z178" i="8"/>
  <c r="X178" i="8"/>
  <c r="W178" i="8"/>
  <c r="V178" i="8"/>
  <c r="AP177" i="8"/>
  <c r="AM177" i="8"/>
  <c r="AK177" i="8"/>
  <c r="AJ177" i="8"/>
  <c r="AO177" i="8" s="1"/>
  <c r="AI177" i="8"/>
  <c r="AH177" i="8"/>
  <c r="AG177" i="8"/>
  <c r="AF177" i="8"/>
  <c r="AE177" i="8"/>
  <c r="AD177" i="8"/>
  <c r="AL177" i="8" s="1"/>
  <c r="Y177" i="8"/>
  <c r="X177" i="8"/>
  <c r="W177" i="8"/>
  <c r="V177" i="8"/>
  <c r="AM176" i="8"/>
  <c r="AL176" i="8"/>
  <c r="AK176" i="8"/>
  <c r="AJ176" i="8"/>
  <c r="AI176" i="8"/>
  <c r="AH176" i="8"/>
  <c r="AN176" i="8" s="1"/>
  <c r="AG176" i="8"/>
  <c r="AF176" i="8"/>
  <c r="AE176" i="8"/>
  <c r="AD176" i="8"/>
  <c r="Z176" i="8"/>
  <c r="Y176" i="8"/>
  <c r="W176" i="8"/>
  <c r="V176" i="8"/>
  <c r="P176" i="8"/>
  <c r="L176" i="8"/>
  <c r="AP175" i="8"/>
  <c r="AK175" i="8"/>
  <c r="AJ175" i="8"/>
  <c r="AO175" i="8" s="1"/>
  <c r="AI175" i="8"/>
  <c r="AH175" i="8"/>
  <c r="AN175" i="8" s="1"/>
  <c r="AG175" i="8"/>
  <c r="AF175" i="8"/>
  <c r="AE175" i="8"/>
  <c r="AD175" i="8"/>
  <c r="AL175" i="8" s="1"/>
  <c r="Y175" i="8"/>
  <c r="X175" i="8"/>
  <c r="T175" i="8"/>
  <c r="V175" i="8" s="1"/>
  <c r="AP174" i="8"/>
  <c r="AL174" i="8"/>
  <c r="AK174" i="8"/>
  <c r="AJ174" i="8"/>
  <c r="AO174" i="8" s="1"/>
  <c r="AI174" i="8"/>
  <c r="AH174" i="8"/>
  <c r="AN174" i="8" s="1"/>
  <c r="AG174" i="8"/>
  <c r="AF174" i="8"/>
  <c r="AE174" i="8"/>
  <c r="AD174" i="8"/>
  <c r="AB174" i="8"/>
  <c r="AA174" i="8"/>
  <c r="Z174" i="8"/>
  <c r="Y174" i="8"/>
  <c r="X174" i="8"/>
  <c r="T174" i="8"/>
  <c r="P174" i="8"/>
  <c r="L174" i="8"/>
  <c r="AO173" i="8"/>
  <c r="AL173" i="8"/>
  <c r="AK173" i="8"/>
  <c r="AJ173" i="8"/>
  <c r="AI173" i="8"/>
  <c r="AH173" i="8"/>
  <c r="AN173" i="8" s="1"/>
  <c r="AG173" i="8"/>
  <c r="AF173" i="8"/>
  <c r="AE173" i="8"/>
  <c r="AD173" i="8"/>
  <c r="Z173" i="8"/>
  <c r="Y173" i="8"/>
  <c r="T173" i="8"/>
  <c r="P173" i="8"/>
  <c r="AP172" i="8"/>
  <c r="AJ172" i="8"/>
  <c r="AI172" i="8"/>
  <c r="AH172" i="8"/>
  <c r="AN172" i="8" s="1"/>
  <c r="AG172" i="8"/>
  <c r="AF172" i="8"/>
  <c r="AE172" i="8"/>
  <c r="AD172" i="8"/>
  <c r="Z172" i="8"/>
  <c r="X172" i="8"/>
  <c r="W172" i="8"/>
  <c r="V172" i="8"/>
  <c r="L172" i="8"/>
  <c r="AL171" i="8"/>
  <c r="AK171" i="8"/>
  <c r="AJ171" i="8"/>
  <c r="AO171" i="8" s="1"/>
  <c r="AI171" i="8"/>
  <c r="AH171" i="8"/>
  <c r="AN171" i="8" s="1"/>
  <c r="AG171" i="8"/>
  <c r="AF171" i="8"/>
  <c r="AE171" i="8"/>
  <c r="AD171" i="8"/>
  <c r="Z171" i="8"/>
  <c r="Y171" i="8"/>
  <c r="X171" i="8"/>
  <c r="P171" i="8"/>
  <c r="AO170" i="8"/>
  <c r="AM170" i="8"/>
  <c r="AL170" i="8"/>
  <c r="K561" i="9" s="1"/>
  <c r="AK170" i="8"/>
  <c r="AJ170" i="8"/>
  <c r="AI170" i="8"/>
  <c r="AH170" i="8"/>
  <c r="AG170" i="8"/>
  <c r="AF170" i="8"/>
  <c r="AE170" i="8"/>
  <c r="AD170" i="8"/>
  <c r="AC170" i="8"/>
  <c r="AA170" i="8"/>
  <c r="Z170" i="8"/>
  <c r="Y170" i="8"/>
  <c r="W170" i="8"/>
  <c r="V170" i="8"/>
  <c r="AK169" i="8"/>
  <c r="AJ169" i="8"/>
  <c r="AO169" i="8" s="1"/>
  <c r="AI169" i="8"/>
  <c r="AH169" i="8"/>
  <c r="AN169" i="8" s="1"/>
  <c r="AG169" i="8"/>
  <c r="AF169" i="8"/>
  <c r="AE169" i="8"/>
  <c r="AD169" i="8"/>
  <c r="AL169" i="8" s="1"/>
  <c r="Z169" i="8"/>
  <c r="Y169" i="8"/>
  <c r="L169" i="8"/>
  <c r="AN168" i="8"/>
  <c r="AK168" i="8"/>
  <c r="AJ168" i="8"/>
  <c r="AI168" i="8"/>
  <c r="AH168" i="8"/>
  <c r="AG168" i="8"/>
  <c r="AF168" i="8"/>
  <c r="AE168" i="8"/>
  <c r="AD168" i="8"/>
  <c r="Z168" i="8"/>
  <c r="Y168" i="8"/>
  <c r="X168" i="8"/>
  <c r="P168" i="8" s="1"/>
  <c r="W168" i="8"/>
  <c r="V168" i="8"/>
  <c r="L168" i="8"/>
  <c r="AL167" i="8"/>
  <c r="AK167" i="8"/>
  <c r="AJ167" i="8"/>
  <c r="AO167" i="8" s="1"/>
  <c r="AI167" i="8"/>
  <c r="AH167" i="8"/>
  <c r="AN167" i="8" s="1"/>
  <c r="AG167" i="8"/>
  <c r="AF167" i="8"/>
  <c r="AE167" i="8"/>
  <c r="AD167" i="8"/>
  <c r="AA167" i="8"/>
  <c r="Z167" i="8"/>
  <c r="Y167" i="8"/>
  <c r="X167" i="8"/>
  <c r="P167" i="8"/>
  <c r="AP166" i="8"/>
  <c r="AK166" i="8"/>
  <c r="AJ166" i="8"/>
  <c r="AI166" i="8"/>
  <c r="AH166" i="8"/>
  <c r="AN166" i="8" s="1"/>
  <c r="AG166" i="8"/>
  <c r="AF166" i="8"/>
  <c r="AE166" i="8"/>
  <c r="AD166" i="8"/>
  <c r="AM166" i="8" s="1"/>
  <c r="Y166" i="8"/>
  <c r="X166" i="8"/>
  <c r="W166" i="8"/>
  <c r="V166" i="8"/>
  <c r="AP165" i="8"/>
  <c r="AO165" i="8"/>
  <c r="AL165" i="8"/>
  <c r="AK165" i="8"/>
  <c r="AJ165" i="8"/>
  <c r="AI165" i="8"/>
  <c r="AH165" i="8"/>
  <c r="AN165" i="8" s="1"/>
  <c r="AG165" i="8"/>
  <c r="AF165" i="8"/>
  <c r="AE165" i="8"/>
  <c r="AD165" i="8"/>
  <c r="Z165" i="8"/>
  <c r="AA165" i="8" s="1"/>
  <c r="AC165" i="8" s="1"/>
  <c r="Y165" i="8"/>
  <c r="X165" i="8"/>
  <c r="T165" i="8"/>
  <c r="P165" i="8"/>
  <c r="L165" i="8"/>
  <c r="AK164" i="8"/>
  <c r="AJ164" i="8"/>
  <c r="AO164" i="8" s="1"/>
  <c r="AI164" i="8"/>
  <c r="AH164" i="8"/>
  <c r="AN164" i="8" s="1"/>
  <c r="AG164" i="8"/>
  <c r="AF164" i="8"/>
  <c r="AE164" i="8"/>
  <c r="AD164" i="8"/>
  <c r="AL164" i="8" s="1"/>
  <c r="K540" i="9" s="1"/>
  <c r="Z164" i="8"/>
  <c r="Y164" i="8"/>
  <c r="X164" i="8"/>
  <c r="T164" i="8" s="1"/>
  <c r="V164" i="8"/>
  <c r="U164" i="8"/>
  <c r="P164" i="8"/>
  <c r="L164" i="8"/>
  <c r="AO163" i="8"/>
  <c r="AL163" i="8"/>
  <c r="AK163" i="8"/>
  <c r="AJ163" i="8"/>
  <c r="AI163" i="8"/>
  <c r="AH163" i="8"/>
  <c r="AN163" i="8" s="1"/>
  <c r="AG163" i="8"/>
  <c r="AF163" i="8"/>
  <c r="AE163" i="8"/>
  <c r="AD163" i="8"/>
  <c r="AA163" i="8"/>
  <c r="Y163" i="8"/>
  <c r="U163" i="8"/>
  <c r="V163" i="8" s="1"/>
  <c r="T163" i="8"/>
  <c r="AO162" i="8"/>
  <c r="AN162" i="8"/>
  <c r="AL162" i="8"/>
  <c r="AJ162" i="8"/>
  <c r="AI162" i="8"/>
  <c r="AH162" i="8"/>
  <c r="AG162" i="8"/>
  <c r="AF162" i="8"/>
  <c r="AE162" i="8"/>
  <c r="AD162" i="8"/>
  <c r="Z162" i="8"/>
  <c r="X162" i="8"/>
  <c r="AO161" i="8"/>
  <c r="AL161" i="8"/>
  <c r="AK161" i="8"/>
  <c r="AJ161" i="8"/>
  <c r="AI161" i="8"/>
  <c r="AH161" i="8"/>
  <c r="AN161" i="8" s="1"/>
  <c r="AG161" i="8"/>
  <c r="AF161" i="8"/>
  <c r="AE161" i="8"/>
  <c r="AD161" i="8"/>
  <c r="Z161" i="8"/>
  <c r="Y161" i="8"/>
  <c r="AA161" i="8" s="1"/>
  <c r="T161" i="8"/>
  <c r="P161" i="8"/>
  <c r="AN160" i="8"/>
  <c r="AL160" i="8"/>
  <c r="AJ160" i="8"/>
  <c r="AI160" i="8"/>
  <c r="AH160" i="8"/>
  <c r="AG160" i="8"/>
  <c r="AF160" i="8"/>
  <c r="AE160" i="8"/>
  <c r="AD160" i="8"/>
  <c r="Z160" i="8"/>
  <c r="Y160" i="8"/>
  <c r="X160" i="8"/>
  <c r="W160" i="8"/>
  <c r="V160" i="8"/>
  <c r="AO159" i="8"/>
  <c r="AL159" i="8"/>
  <c r="K521" i="9" s="1"/>
  <c r="AK159" i="8"/>
  <c r="AP159" i="8" s="1"/>
  <c r="AJ159" i="8"/>
  <c r="AI159" i="8"/>
  <c r="AH159" i="8"/>
  <c r="AN159" i="8" s="1"/>
  <c r="AG159" i="8"/>
  <c r="AF159" i="8"/>
  <c r="AE159" i="8"/>
  <c r="AD159" i="8"/>
  <c r="AA159" i="8"/>
  <c r="Z159" i="8"/>
  <c r="Y159" i="8"/>
  <c r="X159" i="8"/>
  <c r="U159" i="8"/>
  <c r="V159" i="8" s="1"/>
  <c r="T159" i="8"/>
  <c r="P159" i="8"/>
  <c r="W159" i="8" s="1"/>
  <c r="AM159" i="8" s="1"/>
  <c r="L159" i="8"/>
  <c r="AP158" i="8"/>
  <c r="AO158" i="8"/>
  <c r="AN158" i="8"/>
  <c r="AL158" i="8"/>
  <c r="AJ158" i="8"/>
  <c r="AI158" i="8"/>
  <c r="AH158" i="8"/>
  <c r="AG158" i="8"/>
  <c r="AF158" i="8"/>
  <c r="AE158" i="8"/>
  <c r="AD158" i="8"/>
  <c r="AB158" i="8"/>
  <c r="AA158" i="8"/>
  <c r="AC158" i="8" s="1"/>
  <c r="Z158" i="8"/>
  <c r="X158" i="8"/>
  <c r="T158" i="8"/>
  <c r="U158" i="8" s="1"/>
  <c r="AP157" i="8"/>
  <c r="AN157" i="8"/>
  <c r="AK157" i="8"/>
  <c r="AJ157" i="8"/>
  <c r="AO157" i="8" s="1"/>
  <c r="AI157" i="8"/>
  <c r="AH157" i="8"/>
  <c r="AG157" i="8"/>
  <c r="AF157" i="8"/>
  <c r="AE157" i="8"/>
  <c r="AD157" i="8"/>
  <c r="AL157" i="8" s="1"/>
  <c r="Y157" i="8"/>
  <c r="X157" i="8"/>
  <c r="T157" i="8" s="1"/>
  <c r="U157" i="8" s="1"/>
  <c r="V157" i="8"/>
  <c r="L157" i="8"/>
  <c r="AP156" i="8"/>
  <c r="AN156" i="8"/>
  <c r="AK156" i="8"/>
  <c r="AJ156" i="8"/>
  <c r="AO156" i="8" s="1"/>
  <c r="AI156" i="8"/>
  <c r="AH156" i="8"/>
  <c r="AG156" i="8"/>
  <c r="AF156" i="8"/>
  <c r="AE156" i="8"/>
  <c r="AD156" i="8"/>
  <c r="Z156" i="8"/>
  <c r="Y156" i="8"/>
  <c r="X156" i="8"/>
  <c r="AP155" i="8"/>
  <c r="AO155" i="8"/>
  <c r="AL155" i="8"/>
  <c r="AK155" i="8"/>
  <c r="AJ155" i="8"/>
  <c r="AI155" i="8"/>
  <c r="AH155" i="8"/>
  <c r="AN155" i="8" s="1"/>
  <c r="AG155" i="8"/>
  <c r="AF155" i="8"/>
  <c r="AE155" i="8"/>
  <c r="AD155" i="8"/>
  <c r="Z155" i="8"/>
  <c r="X155" i="8"/>
  <c r="L155" i="8" s="1"/>
  <c r="P155" i="8"/>
  <c r="AL154" i="8"/>
  <c r="AK154" i="8"/>
  <c r="AJ154" i="8"/>
  <c r="AO154" i="8" s="1"/>
  <c r="AI154" i="8"/>
  <c r="AH154" i="8"/>
  <c r="AN154" i="8" s="1"/>
  <c r="AG154" i="8"/>
  <c r="AF154" i="8"/>
  <c r="AE154" i="8"/>
  <c r="AD154" i="8"/>
  <c r="Z154" i="8"/>
  <c r="Y154" i="8"/>
  <c r="X154" i="8"/>
  <c r="T154" i="8" s="1"/>
  <c r="U154" i="8"/>
  <c r="L154" i="8"/>
  <c r="AO153" i="8"/>
  <c r="AL153" i="8"/>
  <c r="AK153" i="8"/>
  <c r="AJ153" i="8"/>
  <c r="AI153" i="8"/>
  <c r="AH153" i="8"/>
  <c r="AN153" i="8" s="1"/>
  <c r="AG153" i="8"/>
  <c r="AF153" i="8"/>
  <c r="AE153" i="8"/>
  <c r="AD153" i="8"/>
  <c r="Z153" i="8"/>
  <c r="Y153" i="8"/>
  <c r="T153" i="8"/>
  <c r="P153" i="8"/>
  <c r="AP152" i="8"/>
  <c r="AO152" i="8"/>
  <c r="AN152" i="8"/>
  <c r="AL152" i="8"/>
  <c r="AJ152" i="8"/>
  <c r="AI152" i="8"/>
  <c r="AH152" i="8"/>
  <c r="AG152" i="8"/>
  <c r="AF152" i="8"/>
  <c r="AE152" i="8"/>
  <c r="AD152" i="8"/>
  <c r="AC152" i="8"/>
  <c r="AB152" i="8"/>
  <c r="AA152" i="8"/>
  <c r="Z152" i="8"/>
  <c r="X152" i="8"/>
  <c r="V152" i="8"/>
  <c r="U152" i="8"/>
  <c r="T152" i="8"/>
  <c r="AN151" i="8"/>
  <c r="AK151" i="8"/>
  <c r="AJ151" i="8"/>
  <c r="AO151" i="8" s="1"/>
  <c r="AI151" i="8"/>
  <c r="AH151" i="8"/>
  <c r="AG151" i="8"/>
  <c r="AF151" i="8"/>
  <c r="AE151" i="8"/>
  <c r="AD151" i="8"/>
  <c r="AL151" i="8" s="1"/>
  <c r="Y151" i="8"/>
  <c r="X151" i="8"/>
  <c r="T151" i="8" s="1"/>
  <c r="U151" i="8" s="1"/>
  <c r="V151" i="8"/>
  <c r="P151" i="8"/>
  <c r="L151" i="8"/>
  <c r="W151" i="8" s="1"/>
  <c r="AM151" i="8" s="1"/>
  <c r="AP150" i="8"/>
  <c r="AK150" i="8"/>
  <c r="AJ150" i="8"/>
  <c r="AO150" i="8" s="1"/>
  <c r="AI150" i="8"/>
  <c r="AH150" i="8"/>
  <c r="AG150" i="8"/>
  <c r="AF150" i="8"/>
  <c r="AE150" i="8"/>
  <c r="AD150" i="8"/>
  <c r="Z150" i="8"/>
  <c r="Y150" i="8"/>
  <c r="X150" i="8"/>
  <c r="W150" i="8"/>
  <c r="V150" i="8"/>
  <c r="AN149" i="8"/>
  <c r="AK149" i="8"/>
  <c r="AJ149" i="8"/>
  <c r="AO149" i="8" s="1"/>
  <c r="AI149" i="8"/>
  <c r="AH149" i="8"/>
  <c r="AG149" i="8"/>
  <c r="AF149" i="8"/>
  <c r="AE149" i="8"/>
  <c r="AD149" i="8"/>
  <c r="AL149" i="8" s="1"/>
  <c r="Y149" i="8"/>
  <c r="X149" i="8"/>
  <c r="T149" i="8" s="1"/>
  <c r="U149" i="8" s="1"/>
  <c r="V149" i="8"/>
  <c r="L149" i="8"/>
  <c r="AP148" i="8"/>
  <c r="AN148" i="8"/>
  <c r="AK148" i="8"/>
  <c r="AJ148" i="8"/>
  <c r="AO148" i="8" s="1"/>
  <c r="AI148" i="8"/>
  <c r="AH148" i="8"/>
  <c r="AG148" i="8"/>
  <c r="AF148" i="8"/>
  <c r="AE148" i="8"/>
  <c r="AD148" i="8"/>
  <c r="Z148" i="8"/>
  <c r="Y148" i="8"/>
  <c r="X148" i="8"/>
  <c r="AP147" i="8"/>
  <c r="AO147" i="8"/>
  <c r="AL147" i="8"/>
  <c r="AK147" i="8"/>
  <c r="AJ147" i="8"/>
  <c r="AI147" i="8"/>
  <c r="AH147" i="8"/>
  <c r="AN147" i="8" s="1"/>
  <c r="AG147" i="8"/>
  <c r="AF147" i="8"/>
  <c r="AE147" i="8"/>
  <c r="AD147" i="8"/>
  <c r="Z147" i="8"/>
  <c r="AA147" i="8" s="1"/>
  <c r="AC147" i="8" s="1"/>
  <c r="X147" i="8"/>
  <c r="L147" i="8" s="1"/>
  <c r="P147" i="8"/>
  <c r="AL146" i="8"/>
  <c r="AK146" i="8"/>
  <c r="AJ146" i="8"/>
  <c r="AO146" i="8" s="1"/>
  <c r="AI146" i="8"/>
  <c r="AH146" i="8"/>
  <c r="AN146" i="8" s="1"/>
  <c r="AG146" i="8"/>
  <c r="AF146" i="8"/>
  <c r="AE146" i="8"/>
  <c r="AD146" i="8"/>
  <c r="AB146" i="8"/>
  <c r="Z146" i="8"/>
  <c r="Y146" i="8"/>
  <c r="X146" i="8"/>
  <c r="T146" i="8" s="1"/>
  <c r="U146" i="8"/>
  <c r="L146" i="8"/>
  <c r="AO145" i="8"/>
  <c r="AL145" i="8"/>
  <c r="AK145" i="8"/>
  <c r="AJ145" i="8"/>
  <c r="AI145" i="8"/>
  <c r="AH145" i="8"/>
  <c r="AN145" i="8" s="1"/>
  <c r="AG145" i="8"/>
  <c r="AF145" i="8"/>
  <c r="AE145" i="8"/>
  <c r="AD145" i="8"/>
  <c r="Z145" i="8"/>
  <c r="Y145" i="8"/>
  <c r="T145" i="8"/>
  <c r="AO144" i="8"/>
  <c r="AL144" i="8"/>
  <c r="AJ144" i="8"/>
  <c r="AI144" i="8"/>
  <c r="AH144" i="8"/>
  <c r="AN144" i="8" s="1"/>
  <c r="AG144" i="8"/>
  <c r="AF144" i="8"/>
  <c r="AE144" i="8"/>
  <c r="AD144" i="8"/>
  <c r="Z144" i="8"/>
  <c r="X144" i="8"/>
  <c r="T144" i="8"/>
  <c r="AP143" i="8"/>
  <c r="AN143" i="8"/>
  <c r="AK143" i="8"/>
  <c r="AJ143" i="8"/>
  <c r="AO143" i="8" s="1"/>
  <c r="AI143" i="8"/>
  <c r="AH143" i="8"/>
  <c r="AG143" i="8"/>
  <c r="AF143" i="8"/>
  <c r="AE143" i="8"/>
  <c r="AD143" i="8"/>
  <c r="AL143" i="8" s="1"/>
  <c r="AC143" i="8"/>
  <c r="Z143" i="8"/>
  <c r="Y143" i="8"/>
  <c r="AA143" i="8" s="1"/>
  <c r="X143" i="8"/>
  <c r="T143" i="8" s="1"/>
  <c r="U143" i="8"/>
  <c r="P143" i="8"/>
  <c r="W143" i="8" s="1"/>
  <c r="AM143" i="8" s="1"/>
  <c r="L143" i="8"/>
  <c r="AO142" i="8"/>
  <c r="AK142" i="8"/>
  <c r="AJ142" i="8"/>
  <c r="AI142" i="8"/>
  <c r="AH142" i="8"/>
  <c r="AN142" i="8" s="1"/>
  <c r="AG142" i="8"/>
  <c r="AF142" i="8"/>
  <c r="AE142" i="8"/>
  <c r="AD142" i="8"/>
  <c r="AB142" i="8"/>
  <c r="Z142" i="8"/>
  <c r="Y142" i="8"/>
  <c r="X142" i="8"/>
  <c r="P142" i="8" s="1"/>
  <c r="T142" i="8"/>
  <c r="L142" i="8"/>
  <c r="W142" i="8" s="1"/>
  <c r="AP141" i="8"/>
  <c r="AK141" i="8"/>
  <c r="AJ141" i="8"/>
  <c r="AO141" i="8" s="1"/>
  <c r="AI141" i="8"/>
  <c r="AH141" i="8"/>
  <c r="AN141" i="8" s="1"/>
  <c r="AG141" i="8"/>
  <c r="AF141" i="8"/>
  <c r="AE141" i="8"/>
  <c r="AD141" i="8"/>
  <c r="AC141" i="8"/>
  <c r="AA141" i="8"/>
  <c r="Z141" i="8"/>
  <c r="Y141" i="8"/>
  <c r="X141" i="8"/>
  <c r="W141" i="8"/>
  <c r="U141" i="8"/>
  <c r="T141" i="8"/>
  <c r="P141" i="8"/>
  <c r="L141" i="8"/>
  <c r="AK140" i="8"/>
  <c r="AP140" i="8" s="1"/>
  <c r="AJ140" i="8"/>
  <c r="AO140" i="8" s="1"/>
  <c r="AI140" i="8"/>
  <c r="AH140" i="8"/>
  <c r="AN140" i="8" s="1"/>
  <c r="AG140" i="8"/>
  <c r="AF140" i="8"/>
  <c r="AE140" i="8"/>
  <c r="AD140" i="8"/>
  <c r="AM140" i="8" s="1"/>
  <c r="Z140" i="8"/>
  <c r="Y140" i="8"/>
  <c r="AA140" i="8" s="1"/>
  <c r="X140" i="8"/>
  <c r="T140" i="8"/>
  <c r="P140" i="8"/>
  <c r="L140" i="8"/>
  <c r="W140" i="8" s="1"/>
  <c r="AO139" i="8"/>
  <c r="AN139" i="8"/>
  <c r="AL139" i="8"/>
  <c r="AK139" i="8"/>
  <c r="AJ139" i="8"/>
  <c r="AI139" i="8"/>
  <c r="AH139" i="8"/>
  <c r="AG139" i="8"/>
  <c r="AF139" i="8"/>
  <c r="AE139" i="8"/>
  <c r="AD139" i="8"/>
  <c r="Z139" i="8"/>
  <c r="Y139" i="8"/>
  <c r="T139" i="8"/>
  <c r="V139" i="8" s="1"/>
  <c r="P139" i="8"/>
  <c r="L139" i="8"/>
  <c r="W139" i="8" s="1"/>
  <c r="AM139" i="8" s="1"/>
  <c r="AO138" i="8"/>
  <c r="AL138" i="8"/>
  <c r="AK138" i="8"/>
  <c r="AP138" i="8" s="1"/>
  <c r="AJ138" i="8"/>
  <c r="AI138" i="8"/>
  <c r="AH138" i="8"/>
  <c r="AG138" i="8"/>
  <c r="AF138" i="8"/>
  <c r="AE138" i="8"/>
  <c r="AD138" i="8"/>
  <c r="AC138" i="8"/>
  <c r="AB138" i="8"/>
  <c r="Z138" i="8"/>
  <c r="AA138" i="8" s="1"/>
  <c r="Y138" i="8"/>
  <c r="X138" i="8"/>
  <c r="W138" i="8"/>
  <c r="AM138" i="8" s="1"/>
  <c r="V138" i="8"/>
  <c r="P138" i="8"/>
  <c r="L138" i="8"/>
  <c r="AK137" i="8"/>
  <c r="AP137" i="8" s="1"/>
  <c r="AJ137" i="8"/>
  <c r="AO137" i="8" s="1"/>
  <c r="AI137" i="8"/>
  <c r="AH137" i="8"/>
  <c r="AN137" i="8" s="1"/>
  <c r="AG137" i="8"/>
  <c r="AF137" i="8"/>
  <c r="AE137" i="8"/>
  <c r="AD137" i="8"/>
  <c r="AL137" i="8" s="1"/>
  <c r="AA137" i="8"/>
  <c r="Z137" i="8"/>
  <c r="Y137" i="8"/>
  <c r="X137" i="8"/>
  <c r="T137" i="8"/>
  <c r="U137" i="8" s="1"/>
  <c r="P137" i="8"/>
  <c r="L137" i="8"/>
  <c r="AO136" i="8"/>
  <c r="AL136" i="8"/>
  <c r="AK136" i="8"/>
  <c r="AJ136" i="8"/>
  <c r="AI136" i="8"/>
  <c r="AH136" i="8"/>
  <c r="AN136" i="8" s="1"/>
  <c r="AG136" i="8"/>
  <c r="AF136" i="8"/>
  <c r="AE136" i="8"/>
  <c r="AD136" i="8"/>
  <c r="Z136" i="8"/>
  <c r="Y136" i="8"/>
  <c r="W136" i="8"/>
  <c r="AM136" i="8" s="1"/>
  <c r="V136" i="8"/>
  <c r="U136" i="8"/>
  <c r="T136" i="8"/>
  <c r="P136" i="8"/>
  <c r="AO135" i="8"/>
  <c r="AJ135" i="8"/>
  <c r="AI135" i="8"/>
  <c r="AH135" i="8"/>
  <c r="AN135" i="8" s="1"/>
  <c r="AG135" i="8"/>
  <c r="AF135" i="8"/>
  <c r="AE135" i="8"/>
  <c r="AD135" i="8"/>
  <c r="AC135" i="8"/>
  <c r="AB135" i="8"/>
  <c r="AA135" i="8"/>
  <c r="Z135" i="8"/>
  <c r="X135" i="8"/>
  <c r="P135" i="8" s="1"/>
  <c r="W135" i="8"/>
  <c r="U135" i="8"/>
  <c r="T135" i="8"/>
  <c r="L135" i="8"/>
  <c r="AN134" i="8"/>
  <c r="AK134" i="8"/>
  <c r="AJ134" i="8"/>
  <c r="AO134" i="8" s="1"/>
  <c r="AI134" i="8"/>
  <c r="AH134" i="8"/>
  <c r="AG134" i="8"/>
  <c r="AF134" i="8"/>
  <c r="AE134" i="8"/>
  <c r="AD134" i="8"/>
  <c r="Y134" i="8"/>
  <c r="X134" i="8"/>
  <c r="T134" i="8" s="1"/>
  <c r="W134" i="8"/>
  <c r="U134" i="8"/>
  <c r="P134" i="8"/>
  <c r="L134" i="8"/>
  <c r="AK133" i="8"/>
  <c r="AJ133" i="8"/>
  <c r="AO133" i="8" s="1"/>
  <c r="AI133" i="8"/>
  <c r="AH133" i="8"/>
  <c r="AG133" i="8"/>
  <c r="AF133" i="8"/>
  <c r="AE133" i="8"/>
  <c r="AD133" i="8"/>
  <c r="AM133" i="8" s="1"/>
  <c r="Y133" i="8"/>
  <c r="X133" i="8"/>
  <c r="L133" i="8" s="1"/>
  <c r="W133" i="8"/>
  <c r="V133" i="8"/>
  <c r="AP132" i="8"/>
  <c r="AN132" i="8"/>
  <c r="AL132" i="8"/>
  <c r="AJ132" i="8"/>
  <c r="AO132" i="8" s="1"/>
  <c r="AI132" i="8"/>
  <c r="AH132" i="8"/>
  <c r="AG132" i="8"/>
  <c r="AF132" i="8"/>
  <c r="AE132" i="8"/>
  <c r="AD132" i="8"/>
  <c r="Z132" i="8"/>
  <c r="AA132" i="8" s="1"/>
  <c r="AC132" i="8" s="1"/>
  <c r="X132" i="8"/>
  <c r="V132" i="8"/>
  <c r="T132" i="8"/>
  <c r="U132" i="8" s="1"/>
  <c r="L132" i="8"/>
  <c r="AN131" i="8"/>
  <c r="AK131" i="8"/>
  <c r="AJ131" i="8"/>
  <c r="AO131" i="8" s="1"/>
  <c r="AI131" i="8"/>
  <c r="AH131" i="8"/>
  <c r="AG131" i="8"/>
  <c r="AF131" i="8"/>
  <c r="AE131" i="8"/>
  <c r="AD131" i="8"/>
  <c r="AB131" i="8"/>
  <c r="Y131" i="8"/>
  <c r="X131" i="8"/>
  <c r="AP130" i="8"/>
  <c r="AO130" i="8"/>
  <c r="AL130" i="8"/>
  <c r="AK130" i="8"/>
  <c r="AJ130" i="8"/>
  <c r="AI130" i="8"/>
  <c r="AH130" i="8"/>
  <c r="AN130" i="8" s="1"/>
  <c r="AG130" i="8"/>
  <c r="AF130" i="8"/>
  <c r="AE130" i="8"/>
  <c r="AD130" i="8"/>
  <c r="Z130" i="8"/>
  <c r="Y130" i="8"/>
  <c r="X130" i="8"/>
  <c r="T130" i="8"/>
  <c r="P130" i="8"/>
  <c r="L130" i="8"/>
  <c r="AK129" i="8"/>
  <c r="AC129" i="8" s="1"/>
  <c r="AJ129" i="8"/>
  <c r="AO129" i="8" s="1"/>
  <c r="AI129" i="8"/>
  <c r="AH129" i="8"/>
  <c r="AN129" i="8" s="1"/>
  <c r="AG129" i="8"/>
  <c r="AF129" i="8"/>
  <c r="AE129" i="8"/>
  <c r="AD129" i="8"/>
  <c r="AL129" i="8" s="1"/>
  <c r="Z129" i="8"/>
  <c r="Y129" i="8"/>
  <c r="X129" i="8"/>
  <c r="T129" i="8" s="1"/>
  <c r="W129" i="8"/>
  <c r="U129" i="8"/>
  <c r="P129" i="8"/>
  <c r="L129" i="8"/>
  <c r="AP128" i="8"/>
  <c r="AK128" i="8"/>
  <c r="AA128" i="8" s="1"/>
  <c r="AJ128" i="8"/>
  <c r="AO128" i="8" s="1"/>
  <c r="AI128" i="8"/>
  <c r="AH128" i="8"/>
  <c r="AN128" i="8" s="1"/>
  <c r="AG128" i="8"/>
  <c r="AF128" i="8"/>
  <c r="AE128" i="8"/>
  <c r="AD128" i="8"/>
  <c r="AL128" i="8" s="1"/>
  <c r="Z128" i="8"/>
  <c r="Y128" i="8"/>
  <c r="X128" i="8"/>
  <c r="V128" i="8"/>
  <c r="T128" i="8"/>
  <c r="U128" i="8" s="1"/>
  <c r="AO127" i="8"/>
  <c r="AN127" i="8"/>
  <c r="AL127" i="8"/>
  <c r="AK127" i="8"/>
  <c r="AP127" i="8" s="1"/>
  <c r="AJ127" i="8"/>
  <c r="AI127" i="8"/>
  <c r="AH127" i="8"/>
  <c r="AG127" i="8"/>
  <c r="AF127" i="8"/>
  <c r="AE127" i="8"/>
  <c r="AD127" i="8"/>
  <c r="AB127" i="8"/>
  <c r="AA127" i="8"/>
  <c r="Z127" i="8"/>
  <c r="Y127" i="8"/>
  <c r="U127" i="8"/>
  <c r="T127" i="8"/>
  <c r="P127" i="8"/>
  <c r="W127" i="8" s="1"/>
  <c r="AM127" i="8" s="1"/>
  <c r="AP126" i="8"/>
  <c r="AN126" i="8"/>
  <c r="AL126" i="8"/>
  <c r="AJ126" i="8"/>
  <c r="AO126" i="8" s="1"/>
  <c r="AI126" i="8"/>
  <c r="AH126" i="8"/>
  <c r="AG126" i="8"/>
  <c r="AF126" i="8"/>
  <c r="AE126" i="8"/>
  <c r="AD126" i="8"/>
  <c r="Z126" i="8"/>
  <c r="AA126" i="8" s="1"/>
  <c r="AC126" i="8" s="1"/>
  <c r="X126" i="8"/>
  <c r="P126" i="8" s="1"/>
  <c r="V126" i="8"/>
  <c r="T126" i="8"/>
  <c r="U126" i="8" s="1"/>
  <c r="L126" i="8"/>
  <c r="AP125" i="8"/>
  <c r="AN125" i="8"/>
  <c r="AK125" i="8"/>
  <c r="AJ125" i="8"/>
  <c r="AO125" i="8" s="1"/>
  <c r="AI125" i="8"/>
  <c r="AH125" i="8"/>
  <c r="AG125" i="8"/>
  <c r="AF125" i="8"/>
  <c r="AE125" i="8"/>
  <c r="AD125" i="8"/>
  <c r="X125" i="8"/>
  <c r="AO124" i="8"/>
  <c r="AN124" i="8"/>
  <c r="AL124" i="8"/>
  <c r="AJ124" i="8"/>
  <c r="AI124" i="8"/>
  <c r="AH124" i="8"/>
  <c r="AG124" i="8"/>
  <c r="AF124" i="8"/>
  <c r="AE124" i="8"/>
  <c r="AD124" i="8"/>
  <c r="Z124" i="8"/>
  <c r="Y124" i="8"/>
  <c r="X124" i="8"/>
  <c r="T124" i="8" s="1"/>
  <c r="U124" i="8" s="1"/>
  <c r="V124" i="8"/>
  <c r="P124" i="8"/>
  <c r="L124" i="8"/>
  <c r="AP123" i="8"/>
  <c r="AL123" i="8"/>
  <c r="AJ123" i="8"/>
  <c r="AO123" i="8" s="1"/>
  <c r="AI123" i="8"/>
  <c r="AH123" i="8"/>
  <c r="AN123" i="8" s="1"/>
  <c r="AG123" i="8"/>
  <c r="AF123" i="8"/>
  <c r="AE123" i="8"/>
  <c r="AD123" i="8"/>
  <c r="Z123" i="8"/>
  <c r="Y123" i="8"/>
  <c r="X123" i="8"/>
  <c r="P123" i="8" s="1"/>
  <c r="T123" i="8"/>
  <c r="V123" i="8" s="1"/>
  <c r="AP122" i="8"/>
  <c r="AM122" i="8"/>
  <c r="AK122" i="8"/>
  <c r="AJ122" i="8"/>
  <c r="AO122" i="8" s="1"/>
  <c r="AI122" i="8"/>
  <c r="AH122" i="8"/>
  <c r="AN122" i="8" s="1"/>
  <c r="AG122" i="8"/>
  <c r="AF122" i="8"/>
  <c r="AE122" i="8"/>
  <c r="AD122" i="8"/>
  <c r="AL122" i="8" s="1"/>
  <c r="AC122" i="8"/>
  <c r="Z122" i="8"/>
  <c r="AA122" i="8" s="1"/>
  <c r="Y122" i="8"/>
  <c r="X122" i="8"/>
  <c r="W122" i="8"/>
  <c r="U122" i="8"/>
  <c r="T122" i="8"/>
  <c r="P122" i="8"/>
  <c r="L122" i="8"/>
  <c r="AK121" i="8"/>
  <c r="AJ121" i="8"/>
  <c r="AO121" i="8" s="1"/>
  <c r="AI121" i="8"/>
  <c r="AH121" i="8"/>
  <c r="AN121" i="8" s="1"/>
  <c r="AG121" i="8"/>
  <c r="AF121" i="8"/>
  <c r="AE121" i="8"/>
  <c r="AD121" i="8"/>
  <c r="AL121" i="8" s="1"/>
  <c r="Z121" i="8"/>
  <c r="Y121" i="8"/>
  <c r="AA121" i="8" s="1"/>
  <c r="X121" i="8"/>
  <c r="V121" i="8"/>
  <c r="T121" i="8"/>
  <c r="U121" i="8" s="1"/>
  <c r="P121" i="8"/>
  <c r="L121" i="8"/>
  <c r="W121" i="8" s="1"/>
  <c r="AM121" i="8" s="1"/>
  <c r="AO120" i="8"/>
  <c r="AL120" i="8"/>
  <c r="AK120" i="8"/>
  <c r="AJ120" i="8"/>
  <c r="AI120" i="8"/>
  <c r="AH120" i="8"/>
  <c r="AN120" i="8" s="1"/>
  <c r="AG120" i="8"/>
  <c r="AF120" i="8"/>
  <c r="AE120" i="8"/>
  <c r="AD120" i="8"/>
  <c r="Z120" i="8"/>
  <c r="Y120" i="8"/>
  <c r="X120" i="8"/>
  <c r="V120" i="8"/>
  <c r="T120" i="8"/>
  <c r="U120" i="8" s="1"/>
  <c r="P120" i="8"/>
  <c r="W120" i="8" s="1"/>
  <c r="AM120" i="8" s="1"/>
  <c r="L120" i="8"/>
  <c r="AO119" i="8"/>
  <c r="AL119" i="8"/>
  <c r="AJ119" i="8"/>
  <c r="AI119" i="8"/>
  <c r="AH119" i="8"/>
  <c r="AN119" i="8" s="1"/>
  <c r="AG119" i="8"/>
  <c r="AF119" i="8"/>
  <c r="AE119" i="8"/>
  <c r="AD119" i="8"/>
  <c r="Z119" i="8"/>
  <c r="Y119" i="8"/>
  <c r="X119" i="8"/>
  <c r="P119" i="8" s="1"/>
  <c r="L119" i="8"/>
  <c r="AN118" i="8"/>
  <c r="AK118" i="8"/>
  <c r="AC118" i="8" s="1"/>
  <c r="AJ118" i="8"/>
  <c r="AO118" i="8" s="1"/>
  <c r="AI118" i="8"/>
  <c r="AH118" i="8"/>
  <c r="AG118" i="8"/>
  <c r="AF118" i="8"/>
  <c r="AE118" i="8"/>
  <c r="AD118" i="8"/>
  <c r="AA118" i="8"/>
  <c r="Y118" i="8"/>
  <c r="X118" i="8"/>
  <c r="P118" i="8" s="1"/>
  <c r="AP117" i="8"/>
  <c r="AO117" i="8"/>
  <c r="AL117" i="8"/>
  <c r="AK117" i="8"/>
  <c r="AJ117" i="8"/>
  <c r="AI117" i="8"/>
  <c r="AH117" i="8"/>
  <c r="AG117" i="8"/>
  <c r="AF117" i="8"/>
  <c r="AE117" i="8"/>
  <c r="AD117" i="8"/>
  <c r="Z117" i="8"/>
  <c r="Y117" i="8"/>
  <c r="X117" i="8"/>
  <c r="P117" i="8" s="1"/>
  <c r="W117" i="8"/>
  <c r="V117" i="8"/>
  <c r="L117" i="8"/>
  <c r="AK116" i="8"/>
  <c r="AJ116" i="8"/>
  <c r="AO116" i="8" s="1"/>
  <c r="AI116" i="8"/>
  <c r="AH116" i="8"/>
  <c r="AG116" i="8"/>
  <c r="AF116" i="8"/>
  <c r="AE116" i="8"/>
  <c r="AD116" i="8"/>
  <c r="AC116" i="8"/>
  <c r="AA116" i="8"/>
  <c r="Z116" i="8"/>
  <c r="Y116" i="8"/>
  <c r="X116" i="8"/>
  <c r="L116" i="8" s="1"/>
  <c r="W116" i="8"/>
  <c r="V116" i="8"/>
  <c r="P116" i="8"/>
  <c r="AP115" i="8"/>
  <c r="AO115" i="8"/>
  <c r="AL115" i="8"/>
  <c r="AK115" i="8"/>
  <c r="AJ115" i="8"/>
  <c r="AI115" i="8"/>
  <c r="AH115" i="8"/>
  <c r="AN115" i="8" s="1"/>
  <c r="AG115" i="8"/>
  <c r="AF115" i="8"/>
  <c r="AE115" i="8"/>
  <c r="AD115" i="8"/>
  <c r="AC115" i="8"/>
  <c r="AB115" i="8"/>
  <c r="AA115" i="8"/>
  <c r="Z115" i="8"/>
  <c r="Y115" i="8"/>
  <c r="X115" i="8"/>
  <c r="P115" i="8" s="1"/>
  <c r="W115" i="8"/>
  <c r="AM115" i="8" s="1"/>
  <c r="V115" i="8"/>
  <c r="U115" i="8"/>
  <c r="T115" i="8"/>
  <c r="L115" i="8"/>
  <c r="AO114" i="8"/>
  <c r="AN114" i="8"/>
  <c r="AJ114" i="8"/>
  <c r="AI114" i="8"/>
  <c r="AH114" i="8"/>
  <c r="AG114" i="8"/>
  <c r="AF114" i="8"/>
  <c r="AE114" i="8"/>
  <c r="AD114" i="8"/>
  <c r="AL114" i="8" s="1"/>
  <c r="AB114" i="8"/>
  <c r="AA114" i="8"/>
  <c r="Y114" i="8"/>
  <c r="X114" i="8"/>
  <c r="T114" i="8" s="1"/>
  <c r="V114" i="8" s="1"/>
  <c r="U114" i="8"/>
  <c r="P114" i="8"/>
  <c r="L114" i="8"/>
  <c r="AO113" i="8"/>
  <c r="AL113" i="8"/>
  <c r="AK113" i="8"/>
  <c r="AJ113" i="8"/>
  <c r="AI113" i="8"/>
  <c r="AH113" i="8"/>
  <c r="AN113" i="8" s="1"/>
  <c r="AG113" i="8"/>
  <c r="AF113" i="8"/>
  <c r="AE113" i="8"/>
  <c r="AD113" i="8"/>
  <c r="Z113" i="8"/>
  <c r="Y113" i="8"/>
  <c r="X113" i="8"/>
  <c r="P113" i="8" s="1"/>
  <c r="L113" i="8"/>
  <c r="AP112" i="8"/>
  <c r="AO112" i="8"/>
  <c r="AL112" i="8"/>
  <c r="AK112" i="8"/>
  <c r="AJ112" i="8"/>
  <c r="AI112" i="8"/>
  <c r="AH112" i="8"/>
  <c r="AN112" i="8" s="1"/>
  <c r="AG112" i="8"/>
  <c r="AF112" i="8"/>
  <c r="AE112" i="8"/>
  <c r="AD112" i="8"/>
  <c r="Z112" i="8"/>
  <c r="Y112" i="8"/>
  <c r="AA112" i="8" s="1"/>
  <c r="AC112" i="8" s="1"/>
  <c r="X112" i="8"/>
  <c r="U112" i="8"/>
  <c r="T112" i="8"/>
  <c r="P112" i="8"/>
  <c r="L112" i="8"/>
  <c r="W112" i="8" s="1"/>
  <c r="AL111" i="8"/>
  <c r="AJ111" i="8"/>
  <c r="AO111" i="8" s="1"/>
  <c r="AI111" i="8"/>
  <c r="AH111" i="8"/>
  <c r="AN111" i="8" s="1"/>
  <c r="AG111" i="8"/>
  <c r="AF111" i="8"/>
  <c r="AE111" i="8"/>
  <c r="AD111" i="8"/>
  <c r="AM111" i="8" s="1"/>
  <c r="Z111" i="8"/>
  <c r="Y111" i="8"/>
  <c r="AA111" i="8" s="1"/>
  <c r="X111" i="8"/>
  <c r="V111" i="8"/>
  <c r="T111" i="8"/>
  <c r="U111" i="8" s="1"/>
  <c r="P111" i="8"/>
  <c r="L111" i="8"/>
  <c r="W111" i="8" s="1"/>
  <c r="AO110" i="8"/>
  <c r="AL110" i="8"/>
  <c r="AK110" i="8"/>
  <c r="AJ110" i="8"/>
  <c r="AI110" i="8"/>
  <c r="AH110" i="8"/>
  <c r="AG110" i="8"/>
  <c r="AF110" i="8"/>
  <c r="AE110" i="8"/>
  <c r="AD110" i="8"/>
  <c r="Z110" i="8"/>
  <c r="Y110" i="8"/>
  <c r="X110" i="8"/>
  <c r="W110" i="8"/>
  <c r="AM110" i="8" s="1"/>
  <c r="V110" i="8"/>
  <c r="P110" i="8"/>
  <c r="L110" i="8"/>
  <c r="AP109" i="8"/>
  <c r="AN109" i="8"/>
  <c r="AL109" i="8"/>
  <c r="AJ109" i="8"/>
  <c r="AO109" i="8" s="1"/>
  <c r="AI109" i="8"/>
  <c r="AH109" i="8"/>
  <c r="AG109" i="8"/>
  <c r="AF109" i="8"/>
  <c r="AE109" i="8"/>
  <c r="AD109" i="8"/>
  <c r="Z109" i="8"/>
  <c r="Y109" i="8"/>
  <c r="AA109" i="8" s="1"/>
  <c r="AB109" i="8" s="1"/>
  <c r="X109" i="8"/>
  <c r="U109" i="8"/>
  <c r="T109" i="8"/>
  <c r="V109" i="8" s="1"/>
  <c r="P109" i="8"/>
  <c r="L109" i="8"/>
  <c r="W109" i="8" s="1"/>
  <c r="AM108" i="8"/>
  <c r="AL108" i="8"/>
  <c r="AK108" i="8"/>
  <c r="AP108" i="8" s="1"/>
  <c r="AJ108" i="8"/>
  <c r="AI108" i="8"/>
  <c r="AH108" i="8"/>
  <c r="AN108" i="8" s="1"/>
  <c r="AG108" i="8"/>
  <c r="AF108" i="8"/>
  <c r="AE108" i="8"/>
  <c r="AD108" i="8"/>
  <c r="AB108" i="8"/>
  <c r="AA108" i="8"/>
  <c r="Z108" i="8"/>
  <c r="Y108" i="8"/>
  <c r="X108" i="8"/>
  <c r="W108" i="8"/>
  <c r="V108" i="8"/>
  <c r="P108" i="8"/>
  <c r="L108" i="8"/>
  <c r="AN107" i="8"/>
  <c r="AK107" i="8"/>
  <c r="AJ107" i="8"/>
  <c r="AO107" i="8" s="1"/>
  <c r="AI107" i="8"/>
  <c r="AH107" i="8"/>
  <c r="AG107" i="8"/>
  <c r="AF107" i="8"/>
  <c r="AE107" i="8"/>
  <c r="AD107" i="8"/>
  <c r="Z107" i="8"/>
  <c r="Y107" i="8"/>
  <c r="X107" i="8"/>
  <c r="P107" i="8" s="1"/>
  <c r="T107" i="8"/>
  <c r="U107" i="8" s="1"/>
  <c r="L107" i="8"/>
  <c r="AO106" i="8"/>
  <c r="AN106" i="8"/>
  <c r="AL106" i="8"/>
  <c r="AJ106" i="8"/>
  <c r="AI106" i="8"/>
  <c r="AH106" i="8"/>
  <c r="AG106" i="8"/>
  <c r="AF106" i="8"/>
  <c r="AE106" i="8"/>
  <c r="AD106" i="8"/>
  <c r="Z106" i="8"/>
  <c r="Y106" i="8"/>
  <c r="X106" i="8"/>
  <c r="W106" i="8"/>
  <c r="AM106" i="8" s="1"/>
  <c r="V106" i="8"/>
  <c r="T106" i="8"/>
  <c r="U106" i="8" s="1"/>
  <c r="P106" i="8"/>
  <c r="L106" i="8"/>
  <c r="AP105" i="8"/>
  <c r="AO105" i="8"/>
  <c r="AJ105" i="8"/>
  <c r="AI105" i="8"/>
  <c r="AH105" i="8"/>
  <c r="AN105" i="8" s="1"/>
  <c r="AG105" i="8"/>
  <c r="AF105" i="8"/>
  <c r="AE105" i="8"/>
  <c r="AD105" i="8"/>
  <c r="AL105" i="8" s="1"/>
  <c r="Z105" i="8"/>
  <c r="Y105" i="8"/>
  <c r="X105" i="8"/>
  <c r="AP104" i="8"/>
  <c r="AO104" i="8"/>
  <c r="AK104" i="8"/>
  <c r="AJ104" i="8"/>
  <c r="AI104" i="8"/>
  <c r="AH104" i="8"/>
  <c r="AN104" i="8" s="1"/>
  <c r="AG104" i="8"/>
  <c r="AF104" i="8"/>
  <c r="AE104" i="8"/>
  <c r="AD104" i="8"/>
  <c r="AL104" i="8" s="1"/>
  <c r="AA104" i="8"/>
  <c r="AC104" i="8" s="1"/>
  <c r="Z104" i="8"/>
  <c r="Y104" i="8"/>
  <c r="X104" i="8"/>
  <c r="T104" i="8" s="1"/>
  <c r="U104" i="8"/>
  <c r="P104" i="8"/>
  <c r="L104" i="8"/>
  <c r="W104" i="8" s="1"/>
  <c r="AP103" i="8"/>
  <c r="AK103" i="8"/>
  <c r="AJ103" i="8"/>
  <c r="AO103" i="8" s="1"/>
  <c r="AI103" i="8"/>
  <c r="AH103" i="8"/>
  <c r="AN103" i="8" s="1"/>
  <c r="AG103" i="8"/>
  <c r="AF103" i="8"/>
  <c r="AE103" i="8"/>
  <c r="AD103" i="8"/>
  <c r="Z103" i="8"/>
  <c r="Y103" i="8"/>
  <c r="X103" i="8"/>
  <c r="L103" i="8" s="1"/>
  <c r="W103" i="8" s="1"/>
  <c r="T103" i="8"/>
  <c r="P103" i="8"/>
  <c r="AO102" i="8"/>
  <c r="AL102" i="8"/>
  <c r="AK102" i="8"/>
  <c r="AJ102" i="8"/>
  <c r="AI102" i="8"/>
  <c r="AH102" i="8"/>
  <c r="AN102" i="8" s="1"/>
  <c r="AG102" i="8"/>
  <c r="AF102" i="8"/>
  <c r="AE102" i="8"/>
  <c r="AD102" i="8"/>
  <c r="Z102" i="8"/>
  <c r="Y102" i="8"/>
  <c r="X102" i="8"/>
  <c r="W102" i="8"/>
  <c r="AM102" i="8" s="1"/>
  <c r="U102" i="8"/>
  <c r="T102" i="8"/>
  <c r="P102" i="8"/>
  <c r="L102" i="8"/>
  <c r="AP101" i="8"/>
  <c r="AJ101" i="8"/>
  <c r="AO101" i="8" s="1"/>
  <c r="AI101" i="8"/>
  <c r="AH101" i="8"/>
  <c r="AN101" i="8" s="1"/>
  <c r="AG101" i="8"/>
  <c r="AF101" i="8"/>
  <c r="AE101" i="8"/>
  <c r="AD101" i="8"/>
  <c r="AL101" i="8" s="1"/>
  <c r="AA101" i="8"/>
  <c r="AB101" i="8" s="1"/>
  <c r="Z101" i="8"/>
  <c r="Y101" i="8"/>
  <c r="X101" i="8"/>
  <c r="P101" i="8" s="1"/>
  <c r="T101" i="8"/>
  <c r="L101" i="8"/>
  <c r="W101" i="8" s="1"/>
  <c r="AO100" i="8"/>
  <c r="AL100" i="8"/>
  <c r="AK100" i="8"/>
  <c r="AJ100" i="8"/>
  <c r="AI100" i="8"/>
  <c r="AH100" i="8"/>
  <c r="AN100" i="8" s="1"/>
  <c r="AG100" i="8"/>
  <c r="AF100" i="8"/>
  <c r="AE100" i="8"/>
  <c r="AD100" i="8"/>
  <c r="Z100" i="8"/>
  <c r="Y100" i="8"/>
  <c r="X100" i="8"/>
  <c r="U100" i="8"/>
  <c r="V100" i="8" s="1"/>
  <c r="T100" i="8"/>
  <c r="P100" i="8"/>
  <c r="W100" i="8" s="1"/>
  <c r="AM100" i="8" s="1"/>
  <c r="L100" i="8"/>
  <c r="AP99" i="8"/>
  <c r="AJ99" i="8"/>
  <c r="AO99" i="8" s="1"/>
  <c r="AI99" i="8"/>
  <c r="AH99" i="8"/>
  <c r="AG99" i="8"/>
  <c r="AF99" i="8"/>
  <c r="AE99" i="8"/>
  <c r="AD99" i="8"/>
  <c r="Z99" i="8"/>
  <c r="Y99" i="8"/>
  <c r="X99" i="8"/>
  <c r="P99" i="8" s="1"/>
  <c r="W99" i="8"/>
  <c r="V99" i="8"/>
  <c r="L99" i="8"/>
  <c r="AO98" i="8"/>
  <c r="AL98" i="8"/>
  <c r="AK98" i="8"/>
  <c r="AJ98" i="8"/>
  <c r="AI98" i="8"/>
  <c r="AH98" i="8"/>
  <c r="AN98" i="8" s="1"/>
  <c r="AG98" i="8"/>
  <c r="AF98" i="8"/>
  <c r="AE98" i="8"/>
  <c r="AD98" i="8"/>
  <c r="Z98" i="8"/>
  <c r="Y98" i="8"/>
  <c r="X98" i="8"/>
  <c r="V98" i="8"/>
  <c r="U98" i="8"/>
  <c r="T98" i="8"/>
  <c r="P98" i="8"/>
  <c r="W98" i="8" s="1"/>
  <c r="AM98" i="8" s="1"/>
  <c r="L98" i="8"/>
  <c r="AP97" i="8"/>
  <c r="AN97" i="8"/>
  <c r="AJ97" i="8"/>
  <c r="AO97" i="8" s="1"/>
  <c r="AI97" i="8"/>
  <c r="AH97" i="8"/>
  <c r="AG97" i="8"/>
  <c r="AF97" i="8"/>
  <c r="AE97" i="8"/>
  <c r="AD97" i="8"/>
  <c r="Z97" i="8"/>
  <c r="Y97" i="8"/>
  <c r="X97" i="8"/>
  <c r="AP96" i="8"/>
  <c r="AO96" i="8"/>
  <c r="AN96" i="8"/>
  <c r="AL96" i="8"/>
  <c r="AK96" i="8"/>
  <c r="AJ96" i="8"/>
  <c r="AI96" i="8"/>
  <c r="AH96" i="8"/>
  <c r="AG96" i="8"/>
  <c r="AF96" i="8"/>
  <c r="AE96" i="8"/>
  <c r="AD96" i="8"/>
  <c r="Z96" i="8"/>
  <c r="Y96" i="8"/>
  <c r="X96" i="8"/>
  <c r="L96" i="8"/>
  <c r="AP95" i="8"/>
  <c r="AO95" i="8"/>
  <c r="AK95" i="8"/>
  <c r="AJ95" i="8"/>
  <c r="AI95" i="8"/>
  <c r="AH95" i="8"/>
  <c r="AN95" i="8" s="1"/>
  <c r="AG95" i="8"/>
  <c r="AF95" i="8"/>
  <c r="AE95" i="8"/>
  <c r="AD95" i="8"/>
  <c r="AL95" i="8" s="1"/>
  <c r="AC95" i="8"/>
  <c r="AA95" i="8"/>
  <c r="Z95" i="8"/>
  <c r="Y95" i="8"/>
  <c r="X95" i="8"/>
  <c r="T95" i="8" s="1"/>
  <c r="U95" i="8"/>
  <c r="P95" i="8"/>
  <c r="AN94" i="8"/>
  <c r="AK94" i="8"/>
  <c r="AJ94" i="8"/>
  <c r="AO94" i="8" s="1"/>
  <c r="AI94" i="8"/>
  <c r="AH94" i="8"/>
  <c r="AG94" i="8"/>
  <c r="AF94" i="8"/>
  <c r="AE94" i="8"/>
  <c r="AD94" i="8"/>
  <c r="Z94" i="8"/>
  <c r="Y94" i="8"/>
  <c r="X94" i="8"/>
  <c r="L94" i="8" s="1"/>
  <c r="W94" i="8" s="1"/>
  <c r="V94" i="8"/>
  <c r="T94" i="8"/>
  <c r="U94" i="8" s="1"/>
  <c r="P94" i="8"/>
  <c r="AO93" i="8"/>
  <c r="AL93" i="8"/>
  <c r="AK93" i="8"/>
  <c r="AJ93" i="8"/>
  <c r="AI93" i="8"/>
  <c r="AH93" i="8"/>
  <c r="AN93" i="8" s="1"/>
  <c r="AG93" i="8"/>
  <c r="AF93" i="8"/>
  <c r="AE93" i="8"/>
  <c r="AD93" i="8"/>
  <c r="Z93" i="8"/>
  <c r="Y93" i="8"/>
  <c r="X93" i="8"/>
  <c r="T93" i="8"/>
  <c r="P93" i="8"/>
  <c r="L93" i="8"/>
  <c r="AP92" i="8"/>
  <c r="AK92" i="8"/>
  <c r="AJ92" i="8"/>
  <c r="AO92" i="8" s="1"/>
  <c r="AI92" i="8"/>
  <c r="AH92" i="8"/>
  <c r="AN92" i="8" s="1"/>
  <c r="AG92" i="8"/>
  <c r="AF92" i="8"/>
  <c r="AE92" i="8"/>
  <c r="AD92" i="8"/>
  <c r="AB92" i="8"/>
  <c r="AA92" i="8"/>
  <c r="Z92" i="8"/>
  <c r="Y92" i="8"/>
  <c r="X92" i="8"/>
  <c r="P92" i="8" s="1"/>
  <c r="V92" i="8"/>
  <c r="U92" i="8"/>
  <c r="T92" i="8"/>
  <c r="AO91" i="8"/>
  <c r="AL91" i="8"/>
  <c r="K289" i="9" s="1"/>
  <c r="AK91" i="8"/>
  <c r="AP91" i="8" s="1"/>
  <c r="AJ91" i="8"/>
  <c r="AI91" i="8"/>
  <c r="AH91" i="8"/>
  <c r="AN91" i="8" s="1"/>
  <c r="AG91" i="8"/>
  <c r="AF91" i="8"/>
  <c r="AE91" i="8"/>
  <c r="AD91" i="8"/>
  <c r="AA91" i="8"/>
  <c r="AC91" i="8" s="1"/>
  <c r="Z91" i="8"/>
  <c r="Y91" i="8"/>
  <c r="X91" i="8"/>
  <c r="W91" i="8"/>
  <c r="AM91" i="8" s="1"/>
  <c r="U91" i="8"/>
  <c r="V91" i="8" s="1"/>
  <c r="T91" i="8"/>
  <c r="P91" i="8"/>
  <c r="L91" i="8"/>
  <c r="AP90" i="8"/>
  <c r="AO90" i="8"/>
  <c r="AN90" i="8"/>
  <c r="AL90" i="8"/>
  <c r="AK90" i="8"/>
  <c r="AJ90" i="8"/>
  <c r="AI90" i="8"/>
  <c r="AH90" i="8"/>
  <c r="AG90" i="8"/>
  <c r="AF90" i="8"/>
  <c r="AE90" i="8"/>
  <c r="AD90" i="8"/>
  <c r="Z90" i="8"/>
  <c r="Y90" i="8"/>
  <c r="X90" i="8"/>
  <c r="L90" i="8"/>
  <c r="AP89" i="8"/>
  <c r="AO89" i="8"/>
  <c r="AK89" i="8"/>
  <c r="AC89" i="8" s="1"/>
  <c r="AJ89" i="8"/>
  <c r="AI89" i="8"/>
  <c r="AH89" i="8"/>
  <c r="AN89" i="8" s="1"/>
  <c r="AG89" i="8"/>
  <c r="AF89" i="8"/>
  <c r="AE89" i="8"/>
  <c r="AD89" i="8"/>
  <c r="AL89" i="8" s="1"/>
  <c r="AA89" i="8"/>
  <c r="Z89" i="8"/>
  <c r="Y89" i="8"/>
  <c r="X89" i="8"/>
  <c r="P89" i="8" s="1"/>
  <c r="AN88" i="8"/>
  <c r="AK88" i="8"/>
  <c r="AJ88" i="8"/>
  <c r="AI88" i="8"/>
  <c r="AH88" i="8"/>
  <c r="AG88" i="8"/>
  <c r="AF88" i="8"/>
  <c r="AE88" i="8"/>
  <c r="AD88" i="8"/>
  <c r="Z88" i="8"/>
  <c r="Y88" i="8"/>
  <c r="X88" i="8"/>
  <c r="P88" i="8" s="1"/>
  <c r="W88" i="8"/>
  <c r="V88" i="8"/>
  <c r="L88" i="8"/>
  <c r="AO87" i="8"/>
  <c r="AK87" i="8"/>
  <c r="AJ87" i="8"/>
  <c r="AI87" i="8"/>
  <c r="AH87" i="8"/>
  <c r="AN87" i="8" s="1"/>
  <c r="AG87" i="8"/>
  <c r="AF87" i="8"/>
  <c r="AE87" i="8"/>
  <c r="AD87" i="8"/>
  <c r="Z87" i="8"/>
  <c r="Y87" i="8"/>
  <c r="X87" i="8"/>
  <c r="L87" i="8"/>
  <c r="AN86" i="8"/>
  <c r="AL86" i="8"/>
  <c r="AK86" i="8"/>
  <c r="AJ86" i="8"/>
  <c r="AO86" i="8" s="1"/>
  <c r="AI86" i="8"/>
  <c r="AH86" i="8"/>
  <c r="AG86" i="8"/>
  <c r="AF86" i="8"/>
  <c r="AE86" i="8"/>
  <c r="AD86" i="8"/>
  <c r="Z86" i="8"/>
  <c r="Y86" i="8"/>
  <c r="X86" i="8"/>
  <c r="P86" i="8"/>
  <c r="AO85" i="8"/>
  <c r="AL85" i="8"/>
  <c r="AK85" i="8"/>
  <c r="AJ85" i="8"/>
  <c r="AI85" i="8"/>
  <c r="AH85" i="8"/>
  <c r="AN85" i="8" s="1"/>
  <c r="AG85" i="8"/>
  <c r="AF85" i="8"/>
  <c r="AE85" i="8"/>
  <c r="AD85" i="8"/>
  <c r="AA85" i="8"/>
  <c r="AC85" i="8" s="1"/>
  <c r="Z85" i="8"/>
  <c r="Y85" i="8"/>
  <c r="X85" i="8"/>
  <c r="T85" i="8"/>
  <c r="P85" i="8"/>
  <c r="W85" i="8" s="1"/>
  <c r="AM85" i="8" s="1"/>
  <c r="L85" i="8"/>
  <c r="AP84" i="8"/>
  <c r="AN84" i="8"/>
  <c r="AL84" i="8"/>
  <c r="AK84" i="8"/>
  <c r="AC84" i="8" s="1"/>
  <c r="AJ84" i="8"/>
  <c r="AO84" i="8" s="1"/>
  <c r="AI84" i="8"/>
  <c r="AH84" i="8"/>
  <c r="AG84" i="8"/>
  <c r="AF84" i="8"/>
  <c r="AE84" i="8"/>
  <c r="AD84" i="8"/>
  <c r="AA84" i="8"/>
  <c r="Z84" i="8"/>
  <c r="Y84" i="8"/>
  <c r="X84" i="8"/>
  <c r="T84" i="8"/>
  <c r="AO83" i="8"/>
  <c r="AL83" i="8"/>
  <c r="K263" i="9" s="1"/>
  <c r="AK83" i="8"/>
  <c r="AJ83" i="8"/>
  <c r="AI83" i="8"/>
  <c r="AH83" i="8"/>
  <c r="AN83" i="8" s="1"/>
  <c r="AG83" i="8"/>
  <c r="AF83" i="8"/>
  <c r="AE83" i="8"/>
  <c r="AD83" i="8"/>
  <c r="Z83" i="8"/>
  <c r="Y83" i="8"/>
  <c r="X83" i="8"/>
  <c r="V83" i="8"/>
  <c r="U83" i="8"/>
  <c r="T83" i="8"/>
  <c r="P83" i="8"/>
  <c r="W83" i="8" s="1"/>
  <c r="AM83" i="8" s="1"/>
  <c r="L83" i="8"/>
  <c r="AP82" i="8"/>
  <c r="AO82" i="8"/>
  <c r="AK82" i="8"/>
  <c r="AJ82" i="8"/>
  <c r="AI82" i="8"/>
  <c r="AH82" i="8"/>
  <c r="AN82" i="8" s="1"/>
  <c r="AG82" i="8"/>
  <c r="AF82" i="8"/>
  <c r="AE82" i="8"/>
  <c r="AD82" i="8"/>
  <c r="Z82" i="8"/>
  <c r="Y82" i="8"/>
  <c r="X82" i="8"/>
  <c r="AK81" i="8"/>
  <c r="AJ81" i="8"/>
  <c r="AO81" i="8" s="1"/>
  <c r="AI81" i="8"/>
  <c r="AH81" i="8"/>
  <c r="AN81" i="8" s="1"/>
  <c r="AG81" i="8"/>
  <c r="AF81" i="8"/>
  <c r="AE81" i="8"/>
  <c r="AD81" i="8"/>
  <c r="Z81" i="8"/>
  <c r="Y81" i="8"/>
  <c r="X81" i="8"/>
  <c r="L81" i="8" s="1"/>
  <c r="AN80" i="8"/>
  <c r="AL80" i="8"/>
  <c r="AK80" i="8"/>
  <c r="AJ80" i="8"/>
  <c r="AO80" i="8" s="1"/>
  <c r="AI80" i="8"/>
  <c r="AH80" i="8"/>
  <c r="AG80" i="8"/>
  <c r="AF80" i="8"/>
  <c r="AE80" i="8"/>
  <c r="AD80" i="8"/>
  <c r="Z80" i="8"/>
  <c r="Y80" i="8"/>
  <c r="X80" i="8"/>
  <c r="P80" i="8" s="1"/>
  <c r="AO79" i="8"/>
  <c r="AL79" i="8"/>
  <c r="AK79" i="8"/>
  <c r="AJ79" i="8"/>
  <c r="AI79" i="8"/>
  <c r="AH79" i="8"/>
  <c r="AN79" i="8" s="1"/>
  <c r="AG79" i="8"/>
  <c r="AF79" i="8"/>
  <c r="AE79" i="8"/>
  <c r="AD79" i="8"/>
  <c r="Z79" i="8"/>
  <c r="Y79" i="8"/>
  <c r="AA79" i="8" s="1"/>
  <c r="AC79" i="8" s="1"/>
  <c r="X79" i="8"/>
  <c r="W79" i="8"/>
  <c r="AM79" i="8" s="1"/>
  <c r="T79" i="8"/>
  <c r="V79" i="8" s="1"/>
  <c r="P79" i="8"/>
  <c r="L79" i="8"/>
  <c r="AO78" i="8"/>
  <c r="AL78" i="8"/>
  <c r="AK78" i="8"/>
  <c r="AJ78" i="8"/>
  <c r="AI78" i="8"/>
  <c r="AH78" i="8"/>
  <c r="AN78" i="8" s="1"/>
  <c r="AG78" i="8"/>
  <c r="AF78" i="8"/>
  <c r="AE78" i="8"/>
  <c r="AD78" i="8"/>
  <c r="Z78" i="8"/>
  <c r="Y78" i="8"/>
  <c r="AA78" i="8" s="1"/>
  <c r="AC78" i="8" s="1"/>
  <c r="X78" i="8"/>
  <c r="W78" i="8"/>
  <c r="AM78" i="8" s="1"/>
  <c r="T78" i="8"/>
  <c r="U78" i="8" s="1"/>
  <c r="P78" i="8"/>
  <c r="L78" i="8"/>
  <c r="AP77" i="8"/>
  <c r="AK77" i="8"/>
  <c r="AJ77" i="8"/>
  <c r="AO77" i="8" s="1"/>
  <c r="AI77" i="8"/>
  <c r="AH77" i="8"/>
  <c r="AN77" i="8" s="1"/>
  <c r="AG77" i="8"/>
  <c r="AF77" i="8"/>
  <c r="AE77" i="8"/>
  <c r="AD77" i="8"/>
  <c r="AL77" i="8" s="1"/>
  <c r="Z77" i="8"/>
  <c r="AA77" i="8" s="1"/>
  <c r="AB77" i="8" s="1"/>
  <c r="Y77" i="8"/>
  <c r="X77" i="8"/>
  <c r="P77" i="8" s="1"/>
  <c r="V77" i="8"/>
  <c r="T77" i="8"/>
  <c r="U77" i="8" s="1"/>
  <c r="L77" i="8"/>
  <c r="W77" i="8" s="1"/>
  <c r="AO76" i="8"/>
  <c r="AL76" i="8"/>
  <c r="K241" i="9" s="1"/>
  <c r="AK76" i="8"/>
  <c r="AJ76" i="8"/>
  <c r="AI76" i="8"/>
  <c r="AH76" i="8"/>
  <c r="AN76" i="8" s="1"/>
  <c r="AG76" i="8"/>
  <c r="AF76" i="8"/>
  <c r="AE76" i="8"/>
  <c r="AD76" i="8"/>
  <c r="AA76" i="8"/>
  <c r="AC76" i="8" s="1"/>
  <c r="Z76" i="8"/>
  <c r="Y76" i="8"/>
  <c r="X76" i="8"/>
  <c r="W76" i="8"/>
  <c r="AM76" i="8" s="1"/>
  <c r="U76" i="8"/>
  <c r="V76" i="8" s="1"/>
  <c r="T76" i="8"/>
  <c r="P76" i="8"/>
  <c r="L76" i="8"/>
  <c r="AP75" i="8"/>
  <c r="AN75" i="8"/>
  <c r="AL75" i="8"/>
  <c r="AK75" i="8"/>
  <c r="AJ75" i="8"/>
  <c r="AO75" i="8" s="1"/>
  <c r="AI75" i="8"/>
  <c r="AH75" i="8"/>
  <c r="AG75" i="8"/>
  <c r="AF75" i="8"/>
  <c r="AE75" i="8"/>
  <c r="AD75" i="8"/>
  <c r="Z75" i="8"/>
  <c r="Y75" i="8"/>
  <c r="X75" i="8"/>
  <c r="AO74" i="8"/>
  <c r="AK74" i="8"/>
  <c r="AJ74" i="8"/>
  <c r="AI74" i="8"/>
  <c r="AH74" i="8"/>
  <c r="AN74" i="8" s="1"/>
  <c r="AG74" i="8"/>
  <c r="AF74" i="8"/>
  <c r="AE74" i="8"/>
  <c r="AD74" i="8"/>
  <c r="AL74" i="8" s="1"/>
  <c r="Z74" i="8"/>
  <c r="Y74" i="8"/>
  <c r="X74" i="8"/>
  <c r="T74" i="8" s="1"/>
  <c r="U74" i="8" s="1"/>
  <c r="AN73" i="8"/>
  <c r="AK73" i="8"/>
  <c r="AJ73" i="8"/>
  <c r="AO73" i="8" s="1"/>
  <c r="AI73" i="8"/>
  <c r="AH73" i="8"/>
  <c r="AG73" i="8"/>
  <c r="AF73" i="8"/>
  <c r="AE73" i="8"/>
  <c r="AD73" i="8"/>
  <c r="Z73" i="8"/>
  <c r="Y73" i="8"/>
  <c r="X73" i="8"/>
  <c r="V73" i="8"/>
  <c r="T73" i="8"/>
  <c r="U73" i="8" s="1"/>
  <c r="P73" i="8"/>
  <c r="L73" i="8"/>
  <c r="W73" i="8" s="1"/>
  <c r="AO72" i="8"/>
  <c r="AL72" i="8"/>
  <c r="AK72" i="8"/>
  <c r="AJ72" i="8"/>
  <c r="AI72" i="8"/>
  <c r="AH72" i="8"/>
  <c r="AN72" i="8" s="1"/>
  <c r="AG72" i="8"/>
  <c r="AF72" i="8"/>
  <c r="AE72" i="8"/>
  <c r="AD72" i="8"/>
  <c r="Z72" i="8"/>
  <c r="Y72" i="8"/>
  <c r="X72" i="8"/>
  <c r="U72" i="8"/>
  <c r="T72" i="8"/>
  <c r="P72" i="8"/>
  <c r="W72" i="8" s="1"/>
  <c r="AM72" i="8" s="1"/>
  <c r="O86" i="2" s="1"/>
  <c r="L72" i="8"/>
  <c r="AK71" i="8"/>
  <c r="AC71" i="8" s="1"/>
  <c r="AJ71" i="8"/>
  <c r="AO71" i="8" s="1"/>
  <c r="AI71" i="8"/>
  <c r="AH71" i="8"/>
  <c r="AN71" i="8" s="1"/>
  <c r="AG71" i="8"/>
  <c r="AF71" i="8"/>
  <c r="AE71" i="8"/>
  <c r="AD71" i="8"/>
  <c r="AA71" i="8"/>
  <c r="Z71" i="8"/>
  <c r="Y71" i="8"/>
  <c r="X71" i="8"/>
  <c r="P71" i="8" s="1"/>
  <c r="AO70" i="8"/>
  <c r="AL70" i="8"/>
  <c r="K220" i="9" s="1"/>
  <c r="AK70" i="8"/>
  <c r="AP70" i="8" s="1"/>
  <c r="AJ70" i="8"/>
  <c r="AI70" i="8"/>
  <c r="AH70" i="8"/>
  <c r="AN70" i="8" s="1"/>
  <c r="AG70" i="8"/>
  <c r="AF70" i="8"/>
  <c r="AE70" i="8"/>
  <c r="AD70" i="8"/>
  <c r="AA70" i="8"/>
  <c r="AB70" i="8" s="1"/>
  <c r="Z70" i="8"/>
  <c r="Y70" i="8"/>
  <c r="X70" i="8"/>
  <c r="U70" i="8"/>
  <c r="V70" i="8" s="1"/>
  <c r="T70" i="8"/>
  <c r="P70" i="8"/>
  <c r="W70" i="8" s="1"/>
  <c r="AM70" i="8" s="1"/>
  <c r="L70" i="8"/>
  <c r="AP69" i="8"/>
  <c r="AO69" i="8"/>
  <c r="AN69" i="8"/>
  <c r="AK69" i="8"/>
  <c r="AJ69" i="8"/>
  <c r="AI69" i="8"/>
  <c r="AH69" i="8"/>
  <c r="AG69" i="8"/>
  <c r="AF69" i="8"/>
  <c r="AE69" i="8"/>
  <c r="AD69" i="8"/>
  <c r="AL69" i="8" s="1"/>
  <c r="Z69" i="8"/>
  <c r="Y69" i="8"/>
  <c r="X69" i="8"/>
  <c r="T69" i="8"/>
  <c r="U69" i="8" s="1"/>
  <c r="L69" i="8"/>
  <c r="AP68" i="8"/>
  <c r="AK68" i="8"/>
  <c r="AJ68" i="8"/>
  <c r="AO68" i="8" s="1"/>
  <c r="AI68" i="8"/>
  <c r="AH68" i="8"/>
  <c r="AN68" i="8" s="1"/>
  <c r="AG68" i="8"/>
  <c r="AF68" i="8"/>
  <c r="AE68" i="8"/>
  <c r="AD68" i="8"/>
  <c r="AL68" i="8" s="1"/>
  <c r="Z68" i="8"/>
  <c r="Y68" i="8"/>
  <c r="AA68" i="8" s="1"/>
  <c r="AC68" i="8" s="1"/>
  <c r="X68" i="8"/>
  <c r="T68" i="8" s="1"/>
  <c r="W68" i="8"/>
  <c r="U68" i="8"/>
  <c r="P68" i="8"/>
  <c r="L68" i="8"/>
  <c r="AL67" i="8"/>
  <c r="AK67" i="8"/>
  <c r="AJ67" i="8"/>
  <c r="AO67" i="8" s="1"/>
  <c r="AI67" i="8"/>
  <c r="AH67" i="8"/>
  <c r="AN67" i="8" s="1"/>
  <c r="AG67" i="8"/>
  <c r="AF67" i="8"/>
  <c r="AE67" i="8"/>
  <c r="AD67" i="8"/>
  <c r="Z67" i="8"/>
  <c r="Y67" i="8"/>
  <c r="X67" i="8"/>
  <c r="P67" i="8" s="1"/>
  <c r="AO66" i="8"/>
  <c r="AL66" i="8"/>
  <c r="AK66" i="8"/>
  <c r="AJ66" i="8"/>
  <c r="AI66" i="8"/>
  <c r="AH66" i="8"/>
  <c r="AN66" i="8" s="1"/>
  <c r="AG66" i="8"/>
  <c r="AF66" i="8"/>
  <c r="AE66" i="8"/>
  <c r="AD66" i="8"/>
  <c r="Z66" i="8"/>
  <c r="Y66" i="8"/>
  <c r="X66" i="8"/>
  <c r="U66" i="8"/>
  <c r="T66" i="8"/>
  <c r="P66" i="8"/>
  <c r="W66" i="8" s="1"/>
  <c r="AM66" i="8" s="1"/>
  <c r="L66" i="8"/>
  <c r="AP65" i="8"/>
  <c r="AK65" i="8"/>
  <c r="AJ65" i="8"/>
  <c r="AO65" i="8" s="1"/>
  <c r="AI65" i="8"/>
  <c r="AH65" i="8"/>
  <c r="AG65" i="8"/>
  <c r="AF65" i="8"/>
  <c r="AE65" i="8"/>
  <c r="AD65" i="8"/>
  <c r="AM65" i="8" s="1"/>
  <c r="O79" i="2" s="1"/>
  <c r="Z65" i="8"/>
  <c r="Y65" i="8"/>
  <c r="X65" i="8"/>
  <c r="AA65" i="8" s="1"/>
  <c r="W65" i="8"/>
  <c r="V65" i="8"/>
  <c r="AO64" i="8"/>
  <c r="AL64" i="8"/>
  <c r="AK64" i="8"/>
  <c r="AJ64" i="8"/>
  <c r="AI64" i="8"/>
  <c r="AH64" i="8"/>
  <c r="AN64" i="8" s="1"/>
  <c r="AG64" i="8"/>
  <c r="AF64" i="8"/>
  <c r="AE64" i="8"/>
  <c r="AD64" i="8"/>
  <c r="AC64" i="8"/>
  <c r="Z64" i="8"/>
  <c r="Y64" i="8"/>
  <c r="X64" i="8"/>
  <c r="U64" i="8"/>
  <c r="T64" i="8"/>
  <c r="P64" i="8"/>
  <c r="L64" i="8"/>
  <c r="W64" i="8" s="1"/>
  <c r="AM64" i="8" s="1"/>
  <c r="AK63" i="8"/>
  <c r="AP63" i="8" s="1"/>
  <c r="AJ63" i="8"/>
  <c r="AO63" i="8" s="1"/>
  <c r="AI63" i="8"/>
  <c r="AH63" i="8"/>
  <c r="AN63" i="8" s="1"/>
  <c r="AG63" i="8"/>
  <c r="AF63" i="8"/>
  <c r="AE63" i="8"/>
  <c r="AD63" i="8"/>
  <c r="Z63" i="8"/>
  <c r="Y63" i="8"/>
  <c r="X63" i="8"/>
  <c r="T63" i="8" s="1"/>
  <c r="AO62" i="8"/>
  <c r="AL62" i="8"/>
  <c r="AK62" i="8"/>
  <c r="AP62" i="8" s="1"/>
  <c r="AJ62" i="8"/>
  <c r="AI62" i="8"/>
  <c r="AH62" i="8"/>
  <c r="AN62" i="8" s="1"/>
  <c r="AG62" i="8"/>
  <c r="AF62" i="8"/>
  <c r="AE62" i="8"/>
  <c r="AD62" i="8"/>
  <c r="Z62" i="8"/>
  <c r="Y62" i="8"/>
  <c r="X62" i="8"/>
  <c r="W62" i="8"/>
  <c r="AM62" i="8" s="1"/>
  <c r="O76" i="2" s="1"/>
  <c r="V62" i="8"/>
  <c r="U62" i="8"/>
  <c r="T62" i="8"/>
  <c r="P62" i="8"/>
  <c r="L62" i="8"/>
  <c r="AP61" i="8"/>
  <c r="AO61" i="8"/>
  <c r="AK61" i="8"/>
  <c r="AJ61" i="8"/>
  <c r="AI61" i="8"/>
  <c r="AH61" i="8"/>
  <c r="AN61" i="8" s="1"/>
  <c r="AG61" i="8"/>
  <c r="AF61" i="8"/>
  <c r="AE61" i="8"/>
  <c r="AD61" i="8"/>
  <c r="Z61" i="8"/>
  <c r="Y61" i="8"/>
  <c r="X61" i="8"/>
  <c r="P61" i="8" s="1"/>
  <c r="AP60" i="8"/>
  <c r="AO60" i="8"/>
  <c r="AK60" i="8"/>
  <c r="AA60" i="8" s="1"/>
  <c r="AJ60" i="8"/>
  <c r="AI60" i="8"/>
  <c r="AH60" i="8"/>
  <c r="AN60" i="8" s="1"/>
  <c r="AG60" i="8"/>
  <c r="AF60" i="8"/>
  <c r="AE60" i="8"/>
  <c r="AD60" i="8"/>
  <c r="AL60" i="8" s="1"/>
  <c r="Z60" i="8"/>
  <c r="Y60" i="8"/>
  <c r="X60" i="8"/>
  <c r="T60" i="8" s="1"/>
  <c r="U60" i="8" s="1"/>
  <c r="V60" i="8" s="1"/>
  <c r="L60" i="8"/>
  <c r="AP59" i="8"/>
  <c r="AO59" i="8"/>
  <c r="AN59" i="8"/>
  <c r="AK59" i="8"/>
  <c r="AJ59" i="8"/>
  <c r="AI59" i="8"/>
  <c r="AH59" i="8"/>
  <c r="AG59" i="8"/>
  <c r="AF59" i="8"/>
  <c r="AE59" i="8"/>
  <c r="AD59" i="8"/>
  <c r="AL59" i="8" s="1"/>
  <c r="Z59" i="8"/>
  <c r="Y59" i="8"/>
  <c r="X59" i="8"/>
  <c r="T59" i="8"/>
  <c r="U59" i="8" s="1"/>
  <c r="P59" i="8"/>
  <c r="W59" i="8" s="1"/>
  <c r="N73" i="2" s="1"/>
  <c r="L59" i="8"/>
  <c r="AO58" i="8"/>
  <c r="AL58" i="8"/>
  <c r="AK58" i="8"/>
  <c r="AJ58" i="8"/>
  <c r="AI58" i="8"/>
  <c r="AH58" i="8"/>
  <c r="AN58" i="8" s="1"/>
  <c r="AG58" i="8"/>
  <c r="AF58" i="8"/>
  <c r="AE58" i="8"/>
  <c r="AD58" i="8"/>
  <c r="Z58" i="8"/>
  <c r="Y58" i="8"/>
  <c r="X58" i="8"/>
  <c r="AP57" i="8"/>
  <c r="AK57" i="8"/>
  <c r="AA57" i="8" s="1"/>
  <c r="AJ57" i="8"/>
  <c r="AO57" i="8" s="1"/>
  <c r="AI57" i="8"/>
  <c r="AH57" i="8"/>
  <c r="AN57" i="8" s="1"/>
  <c r="AG57" i="8"/>
  <c r="AF57" i="8"/>
  <c r="AE57" i="8"/>
  <c r="AD57" i="8"/>
  <c r="AB57" i="8"/>
  <c r="Z57" i="8"/>
  <c r="Y57" i="8"/>
  <c r="X57" i="8"/>
  <c r="P57" i="8" s="1"/>
  <c r="L57" i="8"/>
  <c r="AO56" i="8"/>
  <c r="AK56" i="8"/>
  <c r="AP56" i="8" s="1"/>
  <c r="AJ56" i="8"/>
  <c r="AI56" i="8"/>
  <c r="AH56" i="8"/>
  <c r="AN56" i="8" s="1"/>
  <c r="AG56" i="8"/>
  <c r="AF56" i="8"/>
  <c r="AE56" i="8"/>
  <c r="AD56" i="8"/>
  <c r="AL56" i="8" s="1"/>
  <c r="AA56" i="8"/>
  <c r="AC56" i="8" s="1"/>
  <c r="Z56" i="8"/>
  <c r="Y56" i="8"/>
  <c r="X56" i="8"/>
  <c r="P56" i="8" s="1"/>
  <c r="L56" i="8"/>
  <c r="AO55" i="8"/>
  <c r="AK55" i="8"/>
  <c r="AP55" i="8" s="1"/>
  <c r="AJ55" i="8"/>
  <c r="AI55" i="8"/>
  <c r="AH55" i="8"/>
  <c r="AG55" i="8"/>
  <c r="AF55" i="8"/>
  <c r="AE55" i="8"/>
  <c r="AD55" i="8"/>
  <c r="AL55" i="8" s="1"/>
  <c r="Z55" i="8"/>
  <c r="Y55" i="8"/>
  <c r="X55" i="8"/>
  <c r="L55" i="8" s="1"/>
  <c r="W55" i="8"/>
  <c r="V55" i="8"/>
  <c r="AP54" i="8"/>
  <c r="AO54" i="8"/>
  <c r="AL54" i="8"/>
  <c r="AK54" i="8"/>
  <c r="AJ54" i="8"/>
  <c r="AI54" i="8"/>
  <c r="AH54" i="8"/>
  <c r="AN54" i="8" s="1"/>
  <c r="AG54" i="8"/>
  <c r="AF54" i="8"/>
  <c r="AE54" i="8"/>
  <c r="AD54" i="8"/>
  <c r="Z54" i="8"/>
  <c r="AA54" i="8" s="1"/>
  <c r="AC54" i="8" s="1"/>
  <c r="Y54" i="8"/>
  <c r="X54" i="8"/>
  <c r="T54" i="8"/>
  <c r="L54" i="8"/>
  <c r="AP53" i="8"/>
  <c r="AK53" i="8"/>
  <c r="AJ53" i="8"/>
  <c r="AO53" i="8" s="1"/>
  <c r="AI53" i="8"/>
  <c r="AH53" i="8"/>
  <c r="AN53" i="8" s="1"/>
  <c r="AG53" i="8"/>
  <c r="AF53" i="8"/>
  <c r="AE53" i="8"/>
  <c r="AD53" i="8"/>
  <c r="AL53" i="8" s="1"/>
  <c r="AA53" i="8"/>
  <c r="Z53" i="8"/>
  <c r="Y53" i="8"/>
  <c r="X53" i="8"/>
  <c r="P53" i="8" s="1"/>
  <c r="L53" i="8"/>
  <c r="AO52" i="8"/>
  <c r="AL52" i="8"/>
  <c r="AK52" i="8"/>
  <c r="AP52" i="8" s="1"/>
  <c r="AJ52" i="8"/>
  <c r="AI52" i="8"/>
  <c r="AH52" i="8"/>
  <c r="AN52" i="8" s="1"/>
  <c r="AG52" i="8"/>
  <c r="AF52" i="8"/>
  <c r="AE52" i="8"/>
  <c r="AD52" i="8"/>
  <c r="Z52" i="8"/>
  <c r="Y52" i="8"/>
  <c r="X52" i="8"/>
  <c r="V52" i="8"/>
  <c r="T52" i="8"/>
  <c r="U52" i="8" s="1"/>
  <c r="P52" i="8"/>
  <c r="W52" i="8" s="1"/>
  <c r="AM52" i="8" s="1"/>
  <c r="L52" i="8"/>
  <c r="AP51" i="8"/>
  <c r="AO51" i="8"/>
  <c r="AL51" i="8"/>
  <c r="AK51" i="8"/>
  <c r="AJ51" i="8"/>
  <c r="AI51" i="8"/>
  <c r="AH51" i="8"/>
  <c r="AN51" i="8" s="1"/>
  <c r="AG51" i="8"/>
  <c r="AF51" i="8"/>
  <c r="AE51" i="8"/>
  <c r="AD51" i="8"/>
  <c r="Z51" i="8"/>
  <c r="Y51" i="8"/>
  <c r="X51" i="8"/>
  <c r="AA51" i="8" s="1"/>
  <c r="AC51" i="8" s="1"/>
  <c r="T51" i="8"/>
  <c r="U51" i="8" s="1"/>
  <c r="L51" i="8"/>
  <c r="AP50" i="8"/>
  <c r="AK50" i="8"/>
  <c r="AJ50" i="8"/>
  <c r="AO50" i="8" s="1"/>
  <c r="AI50" i="8"/>
  <c r="AH50" i="8"/>
  <c r="AN50" i="8" s="1"/>
  <c r="AG50" i="8"/>
  <c r="AF50" i="8"/>
  <c r="AE50" i="8"/>
  <c r="AD50" i="8"/>
  <c r="Z50" i="8"/>
  <c r="Y50" i="8"/>
  <c r="X50" i="8"/>
  <c r="L50" i="8" s="1"/>
  <c r="AO49" i="8"/>
  <c r="AL49" i="8"/>
  <c r="AK49" i="8"/>
  <c r="AJ49" i="8"/>
  <c r="AI49" i="8"/>
  <c r="AH49" i="8"/>
  <c r="AN49" i="8" s="1"/>
  <c r="AG49" i="8"/>
  <c r="AF49" i="8"/>
  <c r="AE49" i="8"/>
  <c r="AD49" i="8"/>
  <c r="Z49" i="8"/>
  <c r="Y49" i="8"/>
  <c r="X49" i="8"/>
  <c r="T49" i="8"/>
  <c r="U49" i="8" s="1"/>
  <c r="V49" i="8" s="1"/>
  <c r="P49" i="8"/>
  <c r="W49" i="8" s="1"/>
  <c r="AM49" i="8" s="1"/>
  <c r="L49" i="8"/>
  <c r="AP48" i="8"/>
  <c r="AO48" i="8"/>
  <c r="AL48" i="8"/>
  <c r="AK48" i="8"/>
  <c r="AJ48" i="8"/>
  <c r="AI48" i="8"/>
  <c r="AH48" i="8"/>
  <c r="AN48" i="8" s="1"/>
  <c r="AG48" i="8"/>
  <c r="AF48" i="8"/>
  <c r="AE48" i="8"/>
  <c r="AD48" i="8"/>
  <c r="Z48" i="8"/>
  <c r="AA48" i="8" s="1"/>
  <c r="AC48" i="8" s="1"/>
  <c r="Y48" i="8"/>
  <c r="X48" i="8"/>
  <c r="T48" i="8"/>
  <c r="L48" i="8"/>
  <c r="AP47" i="8"/>
  <c r="AK47" i="8"/>
  <c r="AJ47" i="8"/>
  <c r="AO47" i="8" s="1"/>
  <c r="AI47" i="8"/>
  <c r="AH47" i="8"/>
  <c r="AN47" i="8" s="1"/>
  <c r="AG47" i="8"/>
  <c r="AF47" i="8"/>
  <c r="AE47" i="8"/>
  <c r="AD47" i="8"/>
  <c r="AL47" i="8" s="1"/>
  <c r="AA47" i="8"/>
  <c r="Z47" i="8"/>
  <c r="Y47" i="8"/>
  <c r="X47" i="8"/>
  <c r="P47" i="8" s="1"/>
  <c r="L47" i="8"/>
  <c r="AN46" i="8"/>
  <c r="AK46" i="8"/>
  <c r="AP46" i="8" s="1"/>
  <c r="AJ46" i="8"/>
  <c r="AI46" i="8"/>
  <c r="AH46" i="8"/>
  <c r="AG46" i="8"/>
  <c r="AF46" i="8"/>
  <c r="AE46" i="8"/>
  <c r="AD46" i="8"/>
  <c r="AL46" i="8" s="1"/>
  <c r="Z46" i="8"/>
  <c r="Y46" i="8"/>
  <c r="X46" i="8"/>
  <c r="W46" i="8"/>
  <c r="V46" i="8"/>
  <c r="AP45" i="8"/>
  <c r="AO45" i="8"/>
  <c r="AL45" i="8"/>
  <c r="AK45" i="8"/>
  <c r="AJ45" i="8"/>
  <c r="AI45" i="8"/>
  <c r="AH45" i="8"/>
  <c r="AN45" i="8" s="1"/>
  <c r="AG45" i="8"/>
  <c r="AF45" i="8"/>
  <c r="AE45" i="8"/>
  <c r="AD45" i="8"/>
  <c r="Z45" i="8"/>
  <c r="Y45" i="8"/>
  <c r="X45" i="8"/>
  <c r="AA45" i="8" s="1"/>
  <c r="V45" i="8"/>
  <c r="T45" i="8"/>
  <c r="U45" i="8" s="1"/>
  <c r="L45" i="8"/>
  <c r="AP44" i="8"/>
  <c r="AO44" i="8"/>
  <c r="AK44" i="8"/>
  <c r="AB44" i="8" s="1"/>
  <c r="AJ44" i="8"/>
  <c r="AI44" i="8"/>
  <c r="AH44" i="8"/>
  <c r="AN44" i="8" s="1"/>
  <c r="AG44" i="8"/>
  <c r="AF44" i="8"/>
  <c r="AE44" i="8"/>
  <c r="AD44" i="8"/>
  <c r="AL44" i="8" s="1"/>
  <c r="AA44" i="8"/>
  <c r="AC44" i="8" s="1"/>
  <c r="Z44" i="8"/>
  <c r="Y44" i="8"/>
  <c r="X44" i="8"/>
  <c r="P44" i="8" s="1"/>
  <c r="L44" i="8"/>
  <c r="AP43" i="8"/>
  <c r="AN43" i="8"/>
  <c r="AK43" i="8"/>
  <c r="AJ43" i="8"/>
  <c r="AO43" i="8" s="1"/>
  <c r="AI43" i="8"/>
  <c r="AH43" i="8"/>
  <c r="AG43" i="8"/>
  <c r="AF43" i="8"/>
  <c r="AE43" i="8"/>
  <c r="AD43" i="8"/>
  <c r="Z43" i="8"/>
  <c r="Y43" i="8"/>
  <c r="X43" i="8"/>
  <c r="AO42" i="8"/>
  <c r="AL42" i="8"/>
  <c r="AK42" i="8"/>
  <c r="AJ42" i="8"/>
  <c r="AI42" i="8"/>
  <c r="AH42" i="8"/>
  <c r="AN42" i="8" s="1"/>
  <c r="AG42" i="8"/>
  <c r="AF42" i="8"/>
  <c r="AE42" i="8"/>
  <c r="AD42" i="8"/>
  <c r="Z42" i="8"/>
  <c r="Y42" i="8"/>
  <c r="X42" i="8"/>
  <c r="T42" i="8"/>
  <c r="U42" i="8" s="1"/>
  <c r="P42" i="8"/>
  <c r="W42" i="8" s="1"/>
  <c r="AM42" i="8" s="1"/>
  <c r="O56" i="2" s="1"/>
  <c r="L42" i="8"/>
  <c r="AP41" i="8"/>
  <c r="AK41" i="8"/>
  <c r="AJ41" i="8"/>
  <c r="AO41" i="8" s="1"/>
  <c r="AI41" i="8"/>
  <c r="AH41" i="8"/>
  <c r="AN41" i="8" s="1"/>
  <c r="AG41" i="8"/>
  <c r="AF41" i="8"/>
  <c r="AE41" i="8"/>
  <c r="AD41" i="8"/>
  <c r="Z41" i="8"/>
  <c r="Y41" i="8"/>
  <c r="X41" i="8"/>
  <c r="T41" i="8" s="1"/>
  <c r="AO40" i="8"/>
  <c r="AM40" i="8"/>
  <c r="AL40" i="8"/>
  <c r="AK40" i="8"/>
  <c r="AJ40" i="8"/>
  <c r="AI40" i="8"/>
  <c r="AH40" i="8"/>
  <c r="AN40" i="8" s="1"/>
  <c r="AG40" i="8"/>
  <c r="AF40" i="8"/>
  <c r="AE40" i="8"/>
  <c r="AD40" i="8"/>
  <c r="Z40" i="8"/>
  <c r="Y40" i="8"/>
  <c r="X40" i="8"/>
  <c r="U40" i="8"/>
  <c r="V40" i="8" s="1"/>
  <c r="T40" i="8"/>
  <c r="P40" i="8"/>
  <c r="W40" i="8" s="1"/>
  <c r="L40" i="8"/>
  <c r="AP39" i="8"/>
  <c r="AO39" i="8"/>
  <c r="AN39" i="8"/>
  <c r="AL39" i="8"/>
  <c r="AK39" i="8"/>
  <c r="AJ39" i="8"/>
  <c r="AI39" i="8"/>
  <c r="AH39" i="8"/>
  <c r="AG39" i="8"/>
  <c r="AF39" i="8"/>
  <c r="AE39" i="8"/>
  <c r="AD39" i="8"/>
  <c r="AB39" i="8"/>
  <c r="Z39" i="8"/>
  <c r="Y39" i="8"/>
  <c r="X39" i="8"/>
  <c r="AA39" i="8" s="1"/>
  <c r="AC39" i="8" s="1"/>
  <c r="T39" i="8"/>
  <c r="L39" i="8"/>
  <c r="AP38" i="8"/>
  <c r="AO38" i="8"/>
  <c r="AK38" i="8"/>
  <c r="AB38" i="8" s="1"/>
  <c r="AJ38" i="8"/>
  <c r="AI38" i="8"/>
  <c r="AH38" i="8"/>
  <c r="AN38" i="8" s="1"/>
  <c r="AG38" i="8"/>
  <c r="AF38" i="8"/>
  <c r="AE38" i="8"/>
  <c r="AD38" i="8"/>
  <c r="AL38" i="8" s="1"/>
  <c r="AC38" i="8"/>
  <c r="AA38" i="8"/>
  <c r="Z38" i="8"/>
  <c r="Y38" i="8"/>
  <c r="X38" i="8"/>
  <c r="P38" i="8" s="1"/>
  <c r="L38" i="8"/>
  <c r="AP37" i="8"/>
  <c r="AN37" i="8"/>
  <c r="AK37" i="8"/>
  <c r="AJ37" i="8"/>
  <c r="AI37" i="8"/>
  <c r="AH37" i="8"/>
  <c r="AG37" i="8"/>
  <c r="AF37" i="8"/>
  <c r="AE37" i="8"/>
  <c r="AD37" i="8"/>
  <c r="Z37" i="8"/>
  <c r="Y37" i="8"/>
  <c r="X37" i="8"/>
  <c r="L37" i="8" s="1"/>
  <c r="W37" i="8"/>
  <c r="V37" i="8"/>
  <c r="AP36" i="8"/>
  <c r="AO36" i="8"/>
  <c r="AN36" i="8"/>
  <c r="AL36" i="8"/>
  <c r="AK36" i="8"/>
  <c r="AJ36" i="8"/>
  <c r="AI36" i="8"/>
  <c r="AH36" i="8"/>
  <c r="AG36" i="8"/>
  <c r="AF36" i="8"/>
  <c r="AE36" i="8"/>
  <c r="AD36" i="8"/>
  <c r="AB36" i="8"/>
  <c r="Z36" i="8"/>
  <c r="Y36" i="8"/>
  <c r="X36" i="8"/>
  <c r="AA36" i="8" s="1"/>
  <c r="AC36" i="8" s="1"/>
  <c r="T36" i="8"/>
  <c r="L36" i="8"/>
  <c r="AP35" i="8"/>
  <c r="AO35" i="8"/>
  <c r="AK35" i="8"/>
  <c r="AB35" i="8" s="1"/>
  <c r="AJ35" i="8"/>
  <c r="AI35" i="8"/>
  <c r="AH35" i="8"/>
  <c r="AN35" i="8" s="1"/>
  <c r="AG35" i="8"/>
  <c r="AF35" i="8"/>
  <c r="AE35" i="8"/>
  <c r="AD35" i="8"/>
  <c r="AL35" i="8" s="1"/>
  <c r="AC35" i="8"/>
  <c r="AA35" i="8"/>
  <c r="Z35" i="8"/>
  <c r="Y35" i="8"/>
  <c r="X35" i="8"/>
  <c r="P35" i="8" s="1"/>
  <c r="L35" i="8"/>
  <c r="AP34" i="8"/>
  <c r="AN34" i="8"/>
  <c r="AK34" i="8"/>
  <c r="AJ34" i="8"/>
  <c r="AO34" i="8" s="1"/>
  <c r="AI34" i="8"/>
  <c r="AH34" i="8"/>
  <c r="AG34" i="8"/>
  <c r="AF34" i="8"/>
  <c r="AE34" i="8"/>
  <c r="AD34" i="8"/>
  <c r="Z34" i="8"/>
  <c r="Y34" i="8"/>
  <c r="X34" i="8"/>
  <c r="L34" i="8"/>
  <c r="AO33" i="8"/>
  <c r="AL33" i="8"/>
  <c r="AK33" i="8"/>
  <c r="AJ33" i="8"/>
  <c r="AI33" i="8"/>
  <c r="AH33" i="8"/>
  <c r="AN33" i="8" s="1"/>
  <c r="AG33" i="8"/>
  <c r="AF33" i="8"/>
  <c r="AE33" i="8"/>
  <c r="AD33" i="8"/>
  <c r="Z33" i="8"/>
  <c r="Y33" i="8"/>
  <c r="X33" i="8"/>
  <c r="W33" i="8"/>
  <c r="AM33" i="8" s="1"/>
  <c r="T33" i="8"/>
  <c r="U33" i="8" s="1"/>
  <c r="P33" i="8"/>
  <c r="L33" i="8"/>
  <c r="AP32" i="8"/>
  <c r="AK32" i="8"/>
  <c r="AJ32" i="8"/>
  <c r="AO32" i="8" s="1"/>
  <c r="AI32" i="8"/>
  <c r="AH32" i="8"/>
  <c r="AN32" i="8" s="1"/>
  <c r="AG32" i="8"/>
  <c r="AF32" i="8"/>
  <c r="AE32" i="8"/>
  <c r="AD32" i="8"/>
  <c r="AL32" i="8" s="1"/>
  <c r="Z32" i="8"/>
  <c r="Y32" i="8"/>
  <c r="X32" i="8"/>
  <c r="AO31" i="8"/>
  <c r="AL31" i="8"/>
  <c r="AK31" i="8"/>
  <c r="AJ31" i="8"/>
  <c r="AI31" i="8"/>
  <c r="AH31" i="8"/>
  <c r="AN31" i="8" s="1"/>
  <c r="AG31" i="8"/>
  <c r="AF31" i="8"/>
  <c r="AE31" i="8"/>
  <c r="AD31" i="8"/>
  <c r="Z31" i="8"/>
  <c r="Y31" i="8"/>
  <c r="X31" i="8"/>
  <c r="U31" i="8"/>
  <c r="T31" i="8"/>
  <c r="P31" i="8"/>
  <c r="W31" i="8" s="1"/>
  <c r="AM31" i="8" s="1"/>
  <c r="L31" i="8"/>
  <c r="AP30" i="8"/>
  <c r="AN30" i="8"/>
  <c r="AL30" i="8"/>
  <c r="AK30" i="8"/>
  <c r="AJ30" i="8"/>
  <c r="AO30" i="8" s="1"/>
  <c r="AI30" i="8"/>
  <c r="AH30" i="8"/>
  <c r="AG30" i="8"/>
  <c r="AF30" i="8"/>
  <c r="AE30" i="8"/>
  <c r="AD30" i="8"/>
  <c r="Z30" i="8"/>
  <c r="Y30" i="8"/>
  <c r="X30" i="8"/>
  <c r="AA30" i="8" s="1"/>
  <c r="U30" i="8"/>
  <c r="T30" i="8"/>
  <c r="V30" i="8" s="1"/>
  <c r="L30" i="8"/>
  <c r="AO29" i="8"/>
  <c r="AK29" i="8"/>
  <c r="AC29" i="8" s="1"/>
  <c r="AJ29" i="8"/>
  <c r="AI29" i="8"/>
  <c r="AH29" i="8"/>
  <c r="AN29" i="8" s="1"/>
  <c r="AG29" i="8"/>
  <c r="AF29" i="8"/>
  <c r="AE29" i="8"/>
  <c r="AD29" i="8"/>
  <c r="AL29" i="8" s="1"/>
  <c r="AB29" i="8"/>
  <c r="AA29" i="8"/>
  <c r="Z29" i="8"/>
  <c r="Y29" i="8"/>
  <c r="X29" i="8"/>
  <c r="T29" i="8" s="1"/>
  <c r="V29" i="8"/>
  <c r="U29" i="8"/>
  <c r="P29" i="8"/>
  <c r="L29" i="8"/>
  <c r="W29" i="8" s="1"/>
  <c r="AP28" i="8"/>
  <c r="AN28" i="8"/>
  <c r="AL28" i="8"/>
  <c r="AK28" i="8"/>
  <c r="AJ28" i="8"/>
  <c r="AO28" i="8" s="1"/>
  <c r="AI28" i="8"/>
  <c r="AH28" i="8"/>
  <c r="AG28" i="8"/>
  <c r="AF28" i="8"/>
  <c r="AE28" i="8"/>
  <c r="AD28" i="8"/>
  <c r="Z28" i="8"/>
  <c r="Y28" i="8"/>
  <c r="X28" i="8"/>
  <c r="T28" i="8"/>
  <c r="U28" i="8" s="1"/>
  <c r="P28" i="8"/>
  <c r="J42" i="2" s="1"/>
  <c r="L28" i="8"/>
  <c r="AK27" i="8"/>
  <c r="AJ27" i="8"/>
  <c r="AO27" i="8" s="1"/>
  <c r="AI27" i="8"/>
  <c r="AH27" i="8"/>
  <c r="AN27" i="8" s="1"/>
  <c r="AG27" i="8"/>
  <c r="AF27" i="8"/>
  <c r="AE27" i="8"/>
  <c r="AD27" i="8"/>
  <c r="Z27" i="8"/>
  <c r="Y27" i="8"/>
  <c r="X27" i="8"/>
  <c r="AP26" i="8"/>
  <c r="AL26" i="8"/>
  <c r="AK26" i="8"/>
  <c r="AJ26" i="8"/>
  <c r="AO26" i="8" s="1"/>
  <c r="AI26" i="8"/>
  <c r="AH26" i="8"/>
  <c r="AN26" i="8" s="1"/>
  <c r="AG26" i="8"/>
  <c r="AF26" i="8"/>
  <c r="AE26" i="8"/>
  <c r="AD26" i="8"/>
  <c r="AA26" i="8"/>
  <c r="AB26" i="8" s="1"/>
  <c r="Z26" i="8"/>
  <c r="Y26" i="8"/>
  <c r="X26" i="8"/>
  <c r="P26" i="8" s="1"/>
  <c r="T26" i="8"/>
  <c r="U26" i="8" s="1"/>
  <c r="L26" i="8"/>
  <c r="AO25" i="8"/>
  <c r="AM25" i="8"/>
  <c r="AL25" i="8"/>
  <c r="AK25" i="8"/>
  <c r="AP25" i="8" s="1"/>
  <c r="AJ25" i="8"/>
  <c r="AI25" i="8"/>
  <c r="AH25" i="8"/>
  <c r="AN25" i="8" s="1"/>
  <c r="AG25" i="8"/>
  <c r="AF25" i="8"/>
  <c r="AE25" i="8"/>
  <c r="AD25" i="8"/>
  <c r="AA25" i="8"/>
  <c r="Z25" i="8"/>
  <c r="Y25" i="8"/>
  <c r="X25" i="8"/>
  <c r="T25" i="8"/>
  <c r="U25" i="8" s="1"/>
  <c r="P25" i="8"/>
  <c r="L25" i="8"/>
  <c r="W25" i="8" s="1"/>
  <c r="AN24" i="8"/>
  <c r="AM24" i="8"/>
  <c r="O38" i="2" s="1"/>
  <c r="AK24" i="8"/>
  <c r="AP24" i="8" s="1"/>
  <c r="AJ24" i="8"/>
  <c r="AO24" i="8" s="1"/>
  <c r="AI24" i="8"/>
  <c r="AH24" i="8"/>
  <c r="AG24" i="8"/>
  <c r="AF24" i="8"/>
  <c r="AE24" i="8"/>
  <c r="AD24" i="8"/>
  <c r="AL24" i="8" s="1"/>
  <c r="AB24" i="8"/>
  <c r="AA24" i="8"/>
  <c r="Z24" i="8"/>
  <c r="Y24" i="8"/>
  <c r="X24" i="8"/>
  <c r="T24" i="8" s="1"/>
  <c r="U24" i="8"/>
  <c r="V24" i="8" s="1"/>
  <c r="P24" i="8"/>
  <c r="L24" i="8"/>
  <c r="W24" i="8" s="1"/>
  <c r="AO23" i="8"/>
  <c r="AL23" i="8"/>
  <c r="AK23" i="8"/>
  <c r="AP23" i="8" s="1"/>
  <c r="AJ23" i="8"/>
  <c r="AI23" i="8"/>
  <c r="AH23" i="8"/>
  <c r="AN23" i="8" s="1"/>
  <c r="AG23" i="8"/>
  <c r="AF23" i="8"/>
  <c r="AE23" i="8"/>
  <c r="AD23" i="8"/>
  <c r="Z23" i="8"/>
  <c r="Y23" i="8"/>
  <c r="X23" i="8"/>
  <c r="W23" i="8"/>
  <c r="N37" i="2" s="1"/>
  <c r="T23" i="8"/>
  <c r="U23" i="8" s="1"/>
  <c r="V23" i="8" s="1"/>
  <c r="P23" i="8"/>
  <c r="L23" i="8"/>
  <c r="AP22" i="8"/>
  <c r="AK22" i="8"/>
  <c r="AJ22" i="8"/>
  <c r="AO22" i="8" s="1"/>
  <c r="AI22" i="8"/>
  <c r="AH22" i="8"/>
  <c r="AN22" i="8" s="1"/>
  <c r="AG22" i="8"/>
  <c r="AF22" i="8"/>
  <c r="AE22" i="8"/>
  <c r="AD22" i="8"/>
  <c r="Z22" i="8"/>
  <c r="Y22" i="8"/>
  <c r="X22" i="8"/>
  <c r="L22" i="8"/>
  <c r="G36" i="2" s="1"/>
  <c r="AK21" i="8"/>
  <c r="AP21" i="8" s="1"/>
  <c r="AJ21" i="8"/>
  <c r="AO21" i="8" s="1"/>
  <c r="AI21" i="8"/>
  <c r="AH21" i="8"/>
  <c r="AN21" i="8" s="1"/>
  <c r="AG21" i="8"/>
  <c r="AF21" i="8"/>
  <c r="AE21" i="8"/>
  <c r="AD21" i="8"/>
  <c r="Z21" i="8"/>
  <c r="Y21" i="8"/>
  <c r="X21" i="8"/>
  <c r="T21" i="8" s="1"/>
  <c r="AO20" i="8"/>
  <c r="AL20" i="8"/>
  <c r="AK20" i="8"/>
  <c r="AJ20" i="8"/>
  <c r="AI20" i="8"/>
  <c r="AH20" i="8"/>
  <c r="AN20" i="8" s="1"/>
  <c r="AG20" i="8"/>
  <c r="AF20" i="8"/>
  <c r="AE20" i="8"/>
  <c r="AD20" i="8"/>
  <c r="Z20" i="8"/>
  <c r="Y20" i="8"/>
  <c r="X20" i="8"/>
  <c r="T20" i="8"/>
  <c r="P20" i="8"/>
  <c r="W20" i="8" s="1"/>
  <c r="L20" i="8"/>
  <c r="AP19" i="8"/>
  <c r="AL19" i="8"/>
  <c r="AK19" i="8"/>
  <c r="AJ19" i="8"/>
  <c r="AO19" i="8" s="1"/>
  <c r="AI19" i="8"/>
  <c r="AH19" i="8"/>
  <c r="AN19" i="8" s="1"/>
  <c r="AG19" i="8"/>
  <c r="AF19" i="8"/>
  <c r="AE19" i="8"/>
  <c r="AD19" i="8"/>
  <c r="AA19" i="8"/>
  <c r="AC19" i="8" s="1"/>
  <c r="Z19" i="8"/>
  <c r="Y19" i="8"/>
  <c r="X19" i="8"/>
  <c r="T19" i="8"/>
  <c r="L19" i="8"/>
  <c r="AK18" i="8"/>
  <c r="AP18" i="8" s="1"/>
  <c r="AJ18" i="8"/>
  <c r="AO18" i="8" s="1"/>
  <c r="AI18" i="8"/>
  <c r="AH18" i="8"/>
  <c r="AN18" i="8" s="1"/>
  <c r="AG18" i="8"/>
  <c r="AF18" i="8"/>
  <c r="AE18" i="8"/>
  <c r="AD18" i="8"/>
  <c r="AL18" i="8" s="1"/>
  <c r="AA18" i="8"/>
  <c r="Z18" i="8"/>
  <c r="Y18" i="8"/>
  <c r="X18" i="8"/>
  <c r="T18" i="8" s="1"/>
  <c r="U18" i="8"/>
  <c r="V18" i="8" s="1"/>
  <c r="P18" i="8"/>
  <c r="L18" i="8"/>
  <c r="AO17" i="8"/>
  <c r="AN17" i="8"/>
  <c r="AL17" i="8"/>
  <c r="AK17" i="8"/>
  <c r="AP17" i="8" s="1"/>
  <c r="AJ17" i="8"/>
  <c r="AI17" i="8"/>
  <c r="AH17" i="8"/>
  <c r="AG17" i="8"/>
  <c r="AF17" i="8"/>
  <c r="AE17" i="8"/>
  <c r="AD17" i="8"/>
  <c r="Z17" i="8"/>
  <c r="Y17" i="8"/>
  <c r="X17" i="8"/>
  <c r="W17" i="8"/>
  <c r="N31" i="2" s="1"/>
  <c r="T17" i="8"/>
  <c r="U17" i="8" s="1"/>
  <c r="V17" i="8" s="1"/>
  <c r="P17" i="8"/>
  <c r="L17" i="8"/>
  <c r="AP16" i="8"/>
  <c r="AO16" i="8"/>
  <c r="AK16" i="8"/>
  <c r="AJ16" i="8"/>
  <c r="AI16" i="8"/>
  <c r="AH16" i="8"/>
  <c r="AG16" i="8"/>
  <c r="AF16" i="8"/>
  <c r="AE16" i="8"/>
  <c r="AD16" i="8"/>
  <c r="Z16" i="8"/>
  <c r="Y16" i="8"/>
  <c r="X16" i="8"/>
  <c r="W16" i="8"/>
  <c r="V16" i="8"/>
  <c r="AO15" i="8"/>
  <c r="AL15" i="8"/>
  <c r="AK15" i="8"/>
  <c r="AP15" i="8" s="1"/>
  <c r="AJ15" i="8"/>
  <c r="AI15" i="8"/>
  <c r="AH15" i="8"/>
  <c r="AN15" i="8" s="1"/>
  <c r="AG15" i="8"/>
  <c r="AF15" i="8"/>
  <c r="AE15" i="8"/>
  <c r="AD15" i="8"/>
  <c r="Z15" i="8"/>
  <c r="Y15" i="8"/>
  <c r="X15" i="8"/>
  <c r="T15" i="8" s="1"/>
  <c r="V15" i="8" s="1"/>
  <c r="P15" i="8"/>
  <c r="L15" i="8"/>
  <c r="AO14" i="8"/>
  <c r="AN14" i="8"/>
  <c r="AL14" i="8"/>
  <c r="AK14" i="8"/>
  <c r="AP14" i="8" s="1"/>
  <c r="AJ14" i="8"/>
  <c r="AI14" i="8"/>
  <c r="AH14" i="8"/>
  <c r="AG14" i="8"/>
  <c r="AF14" i="8"/>
  <c r="AE14" i="8"/>
  <c r="AD14" i="8"/>
  <c r="Z14" i="8"/>
  <c r="Y14" i="8"/>
  <c r="X14" i="8"/>
  <c r="W14" i="8"/>
  <c r="N28" i="2" s="1"/>
  <c r="T14" i="8"/>
  <c r="U14" i="8" s="1"/>
  <c r="V14" i="8" s="1"/>
  <c r="P14" i="8"/>
  <c r="L14" i="8"/>
  <c r="AP13" i="8"/>
  <c r="AK13" i="8"/>
  <c r="AJ13" i="8"/>
  <c r="AO13" i="8" s="1"/>
  <c r="AI13" i="8"/>
  <c r="AH13" i="8"/>
  <c r="AN13" i="8" s="1"/>
  <c r="AG13" i="8"/>
  <c r="AF13" i="8"/>
  <c r="AE13" i="8"/>
  <c r="AD13" i="8"/>
  <c r="Z13" i="8"/>
  <c r="Y13" i="8"/>
  <c r="X13" i="8"/>
  <c r="L13" i="8"/>
  <c r="G27" i="2" s="1"/>
  <c r="AP12" i="8"/>
  <c r="AK12" i="8"/>
  <c r="AJ12" i="8"/>
  <c r="AO12" i="8" s="1"/>
  <c r="AI12" i="8"/>
  <c r="AH12" i="8"/>
  <c r="AN12" i="8" s="1"/>
  <c r="AG12" i="8"/>
  <c r="AF12" i="8"/>
  <c r="AE12" i="8"/>
  <c r="AD12" i="8"/>
  <c r="Z12" i="8"/>
  <c r="Y12" i="8"/>
  <c r="X12" i="8"/>
  <c r="T12" i="8" s="1"/>
  <c r="P12" i="8"/>
  <c r="J26" i="2" s="1"/>
  <c r="AO11" i="8"/>
  <c r="AL11" i="8"/>
  <c r="AK11" i="8"/>
  <c r="AJ11" i="8"/>
  <c r="AI11" i="8"/>
  <c r="AH11" i="8"/>
  <c r="AN11" i="8" s="1"/>
  <c r="AG11" i="8"/>
  <c r="AF11" i="8"/>
  <c r="AE11" i="8"/>
  <c r="AD11" i="8"/>
  <c r="Z11" i="8"/>
  <c r="Y11" i="8"/>
  <c r="X11" i="8"/>
  <c r="T11" i="8"/>
  <c r="P11" i="8"/>
  <c r="W11" i="8" s="1"/>
  <c r="AM11" i="8" s="1"/>
  <c r="L11" i="8"/>
  <c r="AP10" i="8"/>
  <c r="AO10" i="8"/>
  <c r="AL10" i="8"/>
  <c r="AK10" i="8"/>
  <c r="AJ10" i="8"/>
  <c r="AI10" i="8"/>
  <c r="AH10" i="8"/>
  <c r="AN10" i="8" s="1"/>
  <c r="AG10" i="8"/>
  <c r="AF10" i="8"/>
  <c r="AE10" i="8"/>
  <c r="AD10" i="8"/>
  <c r="AA10" i="8"/>
  <c r="AC10" i="8" s="1"/>
  <c r="Z10" i="8"/>
  <c r="Y10" i="8"/>
  <c r="X10" i="8"/>
  <c r="T10" i="8"/>
  <c r="L10" i="8"/>
  <c r="AK9" i="8"/>
  <c r="AP9" i="8" s="1"/>
  <c r="AJ9" i="8"/>
  <c r="AO9" i="8" s="1"/>
  <c r="AI9" i="8"/>
  <c r="AH9" i="8"/>
  <c r="AN9" i="8" s="1"/>
  <c r="AG9" i="8"/>
  <c r="AF9" i="8"/>
  <c r="AE9" i="8"/>
  <c r="AD9" i="8"/>
  <c r="AL9" i="8" s="1"/>
  <c r="AA9" i="8"/>
  <c r="AB9" i="8" s="1"/>
  <c r="Z9" i="8"/>
  <c r="Y9" i="8"/>
  <c r="X9" i="8"/>
  <c r="T9" i="8" s="1"/>
  <c r="U9" i="8"/>
  <c r="V9" i="8" s="1"/>
  <c r="P9" i="8"/>
  <c r="L9" i="8"/>
  <c r="W9" i="8" s="1"/>
  <c r="AM9" i="8" s="1"/>
  <c r="O23" i="2" s="1"/>
  <c r="AO8" i="8"/>
  <c r="AN8" i="8"/>
  <c r="AL8" i="8"/>
  <c r="AK8" i="8"/>
  <c r="AP8" i="8" s="1"/>
  <c r="AJ8" i="8"/>
  <c r="AI8" i="8"/>
  <c r="AH8" i="8"/>
  <c r="AG8" i="8"/>
  <c r="AF8" i="8"/>
  <c r="AE8" i="8"/>
  <c r="AD8" i="8"/>
  <c r="Z8" i="8"/>
  <c r="Y8" i="8"/>
  <c r="X8" i="8"/>
  <c r="W8" i="8"/>
  <c r="N22" i="2" s="1"/>
  <c r="V8" i="8"/>
  <c r="T8" i="8"/>
  <c r="U8" i="8" s="1"/>
  <c r="P8" i="8"/>
  <c r="L8" i="8"/>
  <c r="AP7" i="8"/>
  <c r="AO7" i="8"/>
  <c r="AK7" i="8"/>
  <c r="AJ7" i="8"/>
  <c r="AI7" i="8"/>
  <c r="AH7" i="8"/>
  <c r="AN7" i="8" s="1"/>
  <c r="AG7" i="8"/>
  <c r="AF7" i="8"/>
  <c r="AE7" i="8"/>
  <c r="AD7" i="8"/>
  <c r="Z7" i="8"/>
  <c r="Y7" i="8"/>
  <c r="X7" i="8"/>
  <c r="AK6" i="8"/>
  <c r="AJ6" i="8"/>
  <c r="AO6" i="8" s="1"/>
  <c r="AI6" i="8"/>
  <c r="AH6" i="8"/>
  <c r="AN6" i="8" s="1"/>
  <c r="AG6" i="8"/>
  <c r="AF6" i="8"/>
  <c r="AE6" i="8"/>
  <c r="AD6" i="8"/>
  <c r="Z6" i="8"/>
  <c r="Y6" i="8"/>
  <c r="X6" i="8"/>
  <c r="T6" i="8" s="1"/>
  <c r="P6" i="8"/>
  <c r="L6" i="8"/>
  <c r="W6" i="8" s="1"/>
  <c r="AO5" i="8"/>
  <c r="AL5" i="8"/>
  <c r="AK5" i="8"/>
  <c r="AJ5" i="8"/>
  <c r="AI5" i="8"/>
  <c r="AH5" i="8"/>
  <c r="AN5" i="8" s="1"/>
  <c r="AG5" i="8"/>
  <c r="AF5" i="8"/>
  <c r="AE5" i="8"/>
  <c r="AD5" i="8"/>
  <c r="Z5" i="8"/>
  <c r="Y5" i="8"/>
  <c r="X5" i="8"/>
  <c r="T5" i="8"/>
  <c r="P5" i="8"/>
  <c r="L5" i="8"/>
  <c r="AP4" i="8"/>
  <c r="AM4" i="8"/>
  <c r="AL4" i="8"/>
  <c r="AK4" i="8"/>
  <c r="AJ4" i="8"/>
  <c r="AI4" i="8"/>
  <c r="AH4" i="8"/>
  <c r="AN4" i="8" s="1"/>
  <c r="AG4" i="8"/>
  <c r="AF4" i="8"/>
  <c r="AE4" i="8"/>
  <c r="AD4" i="8"/>
  <c r="Z4" i="8"/>
  <c r="AA4" i="8" s="1"/>
  <c r="Y4" i="8"/>
  <c r="X4" i="8"/>
  <c r="W4" i="8"/>
  <c r="V4" i="8"/>
  <c r="P4" i="8"/>
  <c r="L4" i="8"/>
  <c r="AO3" i="8"/>
  <c r="AL3" i="8"/>
  <c r="AK3" i="8"/>
  <c r="AJ3" i="8"/>
  <c r="AI3" i="8"/>
  <c r="AH3" i="8"/>
  <c r="AN3" i="8" s="1"/>
  <c r="AG3" i="8"/>
  <c r="AF3" i="8"/>
  <c r="AE3" i="8"/>
  <c r="AD3" i="8"/>
  <c r="Z3" i="8"/>
  <c r="Y3" i="8"/>
  <c r="X3" i="8"/>
  <c r="T3" i="8"/>
  <c r="P3" i="8"/>
  <c r="W3" i="8" s="1"/>
  <c r="AM3" i="8" s="1"/>
  <c r="O17" i="2" s="1"/>
  <c r="L3" i="8"/>
  <c r="AP2" i="8"/>
  <c r="AL2" i="8"/>
  <c r="AK2" i="8"/>
  <c r="AJ2" i="8"/>
  <c r="AO4" i="8" s="1"/>
  <c r="AI2" i="8"/>
  <c r="AH2" i="8"/>
  <c r="AG2" i="8"/>
  <c r="AF2" i="8"/>
  <c r="AE2" i="8"/>
  <c r="AD2" i="8"/>
  <c r="AA2" i="8"/>
  <c r="Z2" i="8"/>
  <c r="Y2" i="8"/>
  <c r="X2" i="8"/>
  <c r="AB2" i="8" s="1"/>
  <c r="T2" i="8"/>
  <c r="L2" i="8"/>
  <c r="B23" i="4"/>
  <c r="B22" i="4"/>
  <c r="B21" i="4"/>
  <c r="B20" i="4"/>
  <c r="B19" i="4"/>
  <c r="B18" i="4"/>
  <c r="B17" i="4"/>
  <c r="B16" i="4"/>
  <c r="H20" i="3"/>
  <c r="G20" i="3"/>
  <c r="E20" i="3"/>
  <c r="D20" i="3"/>
  <c r="C20" i="3"/>
  <c r="B20" i="3"/>
  <c r="F19" i="3"/>
  <c r="E19" i="3"/>
  <c r="D19" i="3"/>
  <c r="C19" i="3"/>
  <c r="B19" i="3"/>
  <c r="D18" i="3"/>
  <c r="C18" i="3"/>
  <c r="B18" i="3"/>
  <c r="H17" i="3"/>
  <c r="G17" i="3"/>
  <c r="E17" i="3"/>
  <c r="D17" i="3"/>
  <c r="C17" i="3"/>
  <c r="B17" i="3"/>
  <c r="F16" i="3"/>
  <c r="E16" i="3"/>
  <c r="D16" i="3"/>
  <c r="C16" i="3"/>
  <c r="B16" i="3"/>
  <c r="D15" i="3"/>
  <c r="C15" i="3"/>
  <c r="B15" i="3"/>
  <c r="H14" i="3"/>
  <c r="G14" i="3"/>
  <c r="E14" i="3"/>
  <c r="D14" i="3"/>
  <c r="C14" i="3"/>
  <c r="B14" i="3"/>
  <c r="F13" i="3"/>
  <c r="E13" i="3"/>
  <c r="D13" i="3"/>
  <c r="C13" i="3"/>
  <c r="B13" i="3"/>
  <c r="O195" i="2"/>
  <c r="N195" i="2"/>
  <c r="M195" i="2"/>
  <c r="L195" i="2"/>
  <c r="K195" i="2"/>
  <c r="J195" i="2"/>
  <c r="I195" i="2"/>
  <c r="H195" i="2"/>
  <c r="G195" i="2"/>
  <c r="F195" i="2"/>
  <c r="E195" i="2"/>
  <c r="D195" i="2"/>
  <c r="C195" i="2"/>
  <c r="B195" i="2"/>
  <c r="N194" i="2"/>
  <c r="M194" i="2"/>
  <c r="L194" i="2"/>
  <c r="K194" i="2"/>
  <c r="I194" i="2"/>
  <c r="H194" i="2"/>
  <c r="F194" i="2"/>
  <c r="E194" i="2"/>
  <c r="D194" i="2"/>
  <c r="C194" i="2"/>
  <c r="B194" i="2"/>
  <c r="N193" i="2"/>
  <c r="M193" i="2"/>
  <c r="L193" i="2"/>
  <c r="K193" i="2"/>
  <c r="J193" i="2"/>
  <c r="I193" i="2"/>
  <c r="H193" i="2"/>
  <c r="G193" i="2"/>
  <c r="F193" i="2"/>
  <c r="E193" i="2"/>
  <c r="D193" i="2"/>
  <c r="C193" i="2"/>
  <c r="B193" i="2"/>
  <c r="N192" i="2"/>
  <c r="M192" i="2"/>
  <c r="L192" i="2"/>
  <c r="K192" i="2"/>
  <c r="I192" i="2"/>
  <c r="H192" i="2"/>
  <c r="F192" i="2"/>
  <c r="E192" i="2"/>
  <c r="D192" i="2"/>
  <c r="C192" i="2"/>
  <c r="B192" i="2"/>
  <c r="O191" i="2"/>
  <c r="N191" i="2"/>
  <c r="M191" i="2"/>
  <c r="L191" i="2"/>
  <c r="K191" i="2"/>
  <c r="J191" i="2"/>
  <c r="I191" i="2"/>
  <c r="H191" i="2"/>
  <c r="F191" i="2"/>
  <c r="E191" i="2"/>
  <c r="D191" i="2"/>
  <c r="C191" i="2"/>
  <c r="B191" i="2"/>
  <c r="O190" i="2"/>
  <c r="N190" i="2"/>
  <c r="M190" i="2"/>
  <c r="L190" i="2"/>
  <c r="K190" i="2"/>
  <c r="J190" i="2"/>
  <c r="I190" i="2"/>
  <c r="H190" i="2"/>
  <c r="G190" i="2"/>
  <c r="F190" i="2"/>
  <c r="E190" i="2"/>
  <c r="D190" i="2"/>
  <c r="C190" i="2"/>
  <c r="B190" i="2"/>
  <c r="M189" i="2"/>
  <c r="L189" i="2"/>
  <c r="K189" i="2"/>
  <c r="I189" i="2"/>
  <c r="H189" i="2"/>
  <c r="F189" i="2"/>
  <c r="E189" i="2"/>
  <c r="D189" i="2"/>
  <c r="C189" i="2"/>
  <c r="B189" i="2"/>
  <c r="M188" i="2"/>
  <c r="L188" i="2"/>
  <c r="K188" i="2"/>
  <c r="J188" i="2"/>
  <c r="I188" i="2"/>
  <c r="H188" i="2"/>
  <c r="G188" i="2"/>
  <c r="F188" i="2"/>
  <c r="E188" i="2"/>
  <c r="D188" i="2"/>
  <c r="C188" i="2"/>
  <c r="B188" i="2"/>
  <c r="M187" i="2"/>
  <c r="L187" i="2"/>
  <c r="K187" i="2"/>
  <c r="J187" i="2"/>
  <c r="I187" i="2"/>
  <c r="H187" i="2"/>
  <c r="G187" i="2"/>
  <c r="F187" i="2"/>
  <c r="E187" i="2"/>
  <c r="D187" i="2"/>
  <c r="C187" i="2"/>
  <c r="B187" i="2"/>
  <c r="N186" i="2"/>
  <c r="M186" i="2"/>
  <c r="L186" i="2"/>
  <c r="K186" i="2"/>
  <c r="J186" i="2"/>
  <c r="I186" i="2"/>
  <c r="H186" i="2"/>
  <c r="G186" i="2"/>
  <c r="F186" i="2"/>
  <c r="E186" i="2"/>
  <c r="D186" i="2"/>
  <c r="C186" i="2"/>
  <c r="B186" i="2"/>
  <c r="L185" i="2"/>
  <c r="K185" i="2"/>
  <c r="J185" i="2"/>
  <c r="I185" i="2"/>
  <c r="H185" i="2"/>
  <c r="F185" i="2"/>
  <c r="E185" i="2"/>
  <c r="D185" i="2"/>
  <c r="C185" i="2"/>
  <c r="B185" i="2"/>
  <c r="O184" i="2"/>
  <c r="N184" i="2"/>
  <c r="M184" i="2"/>
  <c r="L184" i="2"/>
  <c r="K184" i="2"/>
  <c r="I184" i="2"/>
  <c r="H184" i="2"/>
  <c r="F184" i="2"/>
  <c r="E184" i="2"/>
  <c r="D184" i="2"/>
  <c r="C184" i="2"/>
  <c r="B184" i="2"/>
  <c r="L183" i="2"/>
  <c r="K183" i="2"/>
  <c r="I183" i="2"/>
  <c r="H183" i="2"/>
  <c r="G183" i="2"/>
  <c r="F183" i="2"/>
  <c r="E183" i="2"/>
  <c r="D183" i="2"/>
  <c r="C183" i="2"/>
  <c r="B183" i="2"/>
  <c r="N182" i="2"/>
  <c r="M182" i="2"/>
  <c r="L182" i="2"/>
  <c r="K182" i="2"/>
  <c r="J182" i="2"/>
  <c r="I182" i="2"/>
  <c r="H182" i="2"/>
  <c r="G182" i="2"/>
  <c r="F182" i="2"/>
  <c r="E182" i="2"/>
  <c r="D182" i="2"/>
  <c r="C182" i="2"/>
  <c r="B182" i="2"/>
  <c r="L181" i="2"/>
  <c r="K181" i="2"/>
  <c r="J181" i="2"/>
  <c r="I181" i="2"/>
  <c r="H181" i="2"/>
  <c r="F181" i="2"/>
  <c r="E181" i="2"/>
  <c r="D181" i="2"/>
  <c r="C181" i="2"/>
  <c r="B181" i="2"/>
  <c r="O180" i="2"/>
  <c r="N180" i="2"/>
  <c r="M180" i="2"/>
  <c r="L180" i="2"/>
  <c r="K180" i="2"/>
  <c r="I180" i="2"/>
  <c r="H180" i="2"/>
  <c r="F180" i="2"/>
  <c r="E180" i="2"/>
  <c r="D180" i="2"/>
  <c r="C180" i="2"/>
  <c r="B180" i="2"/>
  <c r="M179" i="2"/>
  <c r="L179" i="2"/>
  <c r="K179" i="2"/>
  <c r="J179" i="2"/>
  <c r="I179" i="2"/>
  <c r="H179" i="2"/>
  <c r="G179" i="2"/>
  <c r="F179" i="2"/>
  <c r="E179" i="2"/>
  <c r="D179" i="2"/>
  <c r="C179" i="2"/>
  <c r="B179" i="2"/>
  <c r="M178" i="2"/>
  <c r="L178" i="2"/>
  <c r="K178" i="2"/>
  <c r="J178" i="2"/>
  <c r="I178" i="2"/>
  <c r="H178" i="2"/>
  <c r="G178" i="2"/>
  <c r="F178" i="2"/>
  <c r="E178" i="2"/>
  <c r="D178" i="2"/>
  <c r="C178" i="2"/>
  <c r="B178" i="2"/>
  <c r="M177" i="2"/>
  <c r="L177" i="2"/>
  <c r="K177" i="2"/>
  <c r="I177" i="2"/>
  <c r="H177" i="2"/>
  <c r="F177" i="2"/>
  <c r="E177" i="2"/>
  <c r="D177" i="2"/>
  <c r="C177" i="2"/>
  <c r="B177" i="2"/>
  <c r="L176" i="2"/>
  <c r="K176" i="2"/>
  <c r="I176" i="2"/>
  <c r="H176" i="2"/>
  <c r="F176" i="2"/>
  <c r="E176" i="2"/>
  <c r="D176" i="2"/>
  <c r="C176" i="2"/>
  <c r="B176" i="2"/>
  <c r="M175" i="2"/>
  <c r="L175" i="2"/>
  <c r="K175" i="2"/>
  <c r="J175" i="2"/>
  <c r="I175" i="2"/>
  <c r="H175" i="2"/>
  <c r="G175" i="2"/>
  <c r="F175" i="2"/>
  <c r="E175" i="2"/>
  <c r="D175" i="2"/>
  <c r="C175" i="2"/>
  <c r="B175" i="2"/>
  <c r="N174" i="2"/>
  <c r="M174" i="2"/>
  <c r="L174" i="2"/>
  <c r="K174" i="2"/>
  <c r="I174" i="2"/>
  <c r="H174" i="2"/>
  <c r="F174" i="2"/>
  <c r="E174" i="2"/>
  <c r="D174" i="2"/>
  <c r="C174" i="2"/>
  <c r="B174" i="2"/>
  <c r="O173" i="2"/>
  <c r="N173" i="2"/>
  <c r="M173" i="2"/>
  <c r="L173" i="2"/>
  <c r="K173" i="2"/>
  <c r="J173" i="2"/>
  <c r="I173" i="2"/>
  <c r="H173" i="2"/>
  <c r="G173" i="2"/>
  <c r="F173" i="2"/>
  <c r="E173" i="2"/>
  <c r="D173" i="2"/>
  <c r="C173" i="2"/>
  <c r="B173" i="2"/>
  <c r="M172" i="2"/>
  <c r="L172" i="2"/>
  <c r="K172" i="2"/>
  <c r="I172" i="2"/>
  <c r="H172" i="2"/>
  <c r="F172" i="2"/>
  <c r="E172" i="2"/>
  <c r="D172" i="2"/>
  <c r="C172" i="2"/>
  <c r="B172" i="2"/>
  <c r="M171" i="2"/>
  <c r="L171" i="2"/>
  <c r="K171" i="2"/>
  <c r="I171" i="2"/>
  <c r="H171" i="2"/>
  <c r="G171" i="2"/>
  <c r="F171" i="2"/>
  <c r="E171" i="2"/>
  <c r="D171" i="2"/>
  <c r="C171" i="2"/>
  <c r="B171" i="2"/>
  <c r="L170" i="2"/>
  <c r="K170" i="2"/>
  <c r="I170" i="2"/>
  <c r="H170" i="2"/>
  <c r="F170" i="2"/>
  <c r="E170" i="2"/>
  <c r="D170" i="2"/>
  <c r="C170" i="2"/>
  <c r="B170" i="2"/>
  <c r="L169" i="2"/>
  <c r="K169" i="2"/>
  <c r="J169" i="2"/>
  <c r="I169" i="2"/>
  <c r="H169" i="2"/>
  <c r="G169" i="2"/>
  <c r="F169" i="2"/>
  <c r="E169" i="2"/>
  <c r="D169" i="2"/>
  <c r="C169" i="2"/>
  <c r="B169" i="2"/>
  <c r="M168" i="2"/>
  <c r="L168" i="2"/>
  <c r="K168" i="2"/>
  <c r="I168" i="2"/>
  <c r="H168" i="2"/>
  <c r="G168" i="2"/>
  <c r="F168" i="2"/>
  <c r="E168" i="2"/>
  <c r="D168" i="2"/>
  <c r="C168" i="2"/>
  <c r="B168" i="2"/>
  <c r="M167" i="2"/>
  <c r="L167" i="2"/>
  <c r="K167" i="2"/>
  <c r="J167" i="2"/>
  <c r="I167" i="2"/>
  <c r="H167" i="2"/>
  <c r="G167" i="2"/>
  <c r="F167" i="2"/>
  <c r="E167" i="2"/>
  <c r="D167" i="2"/>
  <c r="C167" i="2"/>
  <c r="B167" i="2"/>
  <c r="M166" i="2"/>
  <c r="L166" i="2"/>
  <c r="K166" i="2"/>
  <c r="I166" i="2"/>
  <c r="H166" i="2"/>
  <c r="F166" i="2"/>
  <c r="E166" i="2"/>
  <c r="D166" i="2"/>
  <c r="C166" i="2"/>
  <c r="B166" i="2"/>
  <c r="O165" i="2"/>
  <c r="N165" i="2"/>
  <c r="M165" i="2"/>
  <c r="L165" i="2"/>
  <c r="K165" i="2"/>
  <c r="J165" i="2"/>
  <c r="I165" i="2"/>
  <c r="H165" i="2"/>
  <c r="G165" i="2"/>
  <c r="F165" i="2"/>
  <c r="E165" i="2"/>
  <c r="D165" i="2"/>
  <c r="C165" i="2"/>
  <c r="B165" i="2"/>
  <c r="N164" i="2"/>
  <c r="M164" i="2"/>
  <c r="L164" i="2"/>
  <c r="K164" i="2"/>
  <c r="I164" i="2"/>
  <c r="H164" i="2"/>
  <c r="F164" i="2"/>
  <c r="E164" i="2"/>
  <c r="D164" i="2"/>
  <c r="C164" i="2"/>
  <c r="B164" i="2"/>
  <c r="M163" i="2"/>
  <c r="L163" i="2"/>
  <c r="K163" i="2"/>
  <c r="I163" i="2"/>
  <c r="H163" i="2"/>
  <c r="G163" i="2"/>
  <c r="F163" i="2"/>
  <c r="E163" i="2"/>
  <c r="D163" i="2"/>
  <c r="C163" i="2"/>
  <c r="B163" i="2"/>
  <c r="L162" i="2"/>
  <c r="K162" i="2"/>
  <c r="I162" i="2"/>
  <c r="H162" i="2"/>
  <c r="F162" i="2"/>
  <c r="E162" i="2"/>
  <c r="D162" i="2"/>
  <c r="C162" i="2"/>
  <c r="B162" i="2"/>
  <c r="L161" i="2"/>
  <c r="K161" i="2"/>
  <c r="J161" i="2"/>
  <c r="I161" i="2"/>
  <c r="H161" i="2"/>
  <c r="G161" i="2"/>
  <c r="F161" i="2"/>
  <c r="E161" i="2"/>
  <c r="D161" i="2"/>
  <c r="C161" i="2"/>
  <c r="B161" i="2"/>
  <c r="M160" i="2"/>
  <c r="L160" i="2"/>
  <c r="K160" i="2"/>
  <c r="I160" i="2"/>
  <c r="H160" i="2"/>
  <c r="G160" i="2"/>
  <c r="F160" i="2"/>
  <c r="E160" i="2"/>
  <c r="D160" i="2"/>
  <c r="C160" i="2"/>
  <c r="B160" i="2"/>
  <c r="M159" i="2"/>
  <c r="L159" i="2"/>
  <c r="K159" i="2"/>
  <c r="I159" i="2"/>
  <c r="H159" i="2"/>
  <c r="F159" i="2"/>
  <c r="E159" i="2"/>
  <c r="D159" i="2"/>
  <c r="C159" i="2"/>
  <c r="B159" i="2"/>
  <c r="M158" i="2"/>
  <c r="L158" i="2"/>
  <c r="K158" i="2"/>
  <c r="I158" i="2"/>
  <c r="H158" i="2"/>
  <c r="F158" i="2"/>
  <c r="E158" i="2"/>
  <c r="D158" i="2"/>
  <c r="C158" i="2"/>
  <c r="B158" i="2"/>
  <c r="O157" i="2"/>
  <c r="N157" i="2"/>
  <c r="M157" i="2"/>
  <c r="L157" i="2"/>
  <c r="K157" i="2"/>
  <c r="J157" i="2"/>
  <c r="I157" i="2"/>
  <c r="H157" i="2"/>
  <c r="G157" i="2"/>
  <c r="F157" i="2"/>
  <c r="E157" i="2"/>
  <c r="D157" i="2"/>
  <c r="C157" i="2"/>
  <c r="B157" i="2"/>
  <c r="N156" i="2"/>
  <c r="M156" i="2"/>
  <c r="L156" i="2"/>
  <c r="K156" i="2"/>
  <c r="J156" i="2"/>
  <c r="I156" i="2"/>
  <c r="H156" i="2"/>
  <c r="G156" i="2"/>
  <c r="F156" i="2"/>
  <c r="E156" i="2"/>
  <c r="D156" i="2"/>
  <c r="C156" i="2"/>
  <c r="B156" i="2"/>
  <c r="N155" i="2"/>
  <c r="M155" i="2"/>
  <c r="L155" i="2"/>
  <c r="K155" i="2"/>
  <c r="J155" i="2"/>
  <c r="I155" i="2"/>
  <c r="H155" i="2"/>
  <c r="G155" i="2"/>
  <c r="F155" i="2"/>
  <c r="E155" i="2"/>
  <c r="D155" i="2"/>
  <c r="C155" i="2"/>
  <c r="B155" i="2"/>
  <c r="O154" i="2"/>
  <c r="N154" i="2"/>
  <c r="M154" i="2"/>
  <c r="L154" i="2"/>
  <c r="K154" i="2"/>
  <c r="J154" i="2"/>
  <c r="I154" i="2"/>
  <c r="H154" i="2"/>
  <c r="G154" i="2"/>
  <c r="F154" i="2"/>
  <c r="E154" i="2"/>
  <c r="D154" i="2"/>
  <c r="C154" i="2"/>
  <c r="B154" i="2"/>
  <c r="O153" i="2"/>
  <c r="N153" i="2"/>
  <c r="M153" i="2"/>
  <c r="L153" i="2"/>
  <c r="K153" i="2"/>
  <c r="J153" i="2"/>
  <c r="I153" i="2"/>
  <c r="H153" i="2"/>
  <c r="G153" i="2"/>
  <c r="F153" i="2"/>
  <c r="E153" i="2"/>
  <c r="D153" i="2"/>
  <c r="C153" i="2"/>
  <c r="B153" i="2"/>
  <c r="O152" i="2"/>
  <c r="N152" i="2"/>
  <c r="M152" i="2"/>
  <c r="L152" i="2"/>
  <c r="K152" i="2"/>
  <c r="J152" i="2"/>
  <c r="I152" i="2"/>
  <c r="H152" i="2"/>
  <c r="G152" i="2"/>
  <c r="F152" i="2"/>
  <c r="E152" i="2"/>
  <c r="D152" i="2"/>
  <c r="C152" i="2"/>
  <c r="B152" i="2"/>
  <c r="M151" i="2"/>
  <c r="L151" i="2"/>
  <c r="K151" i="2"/>
  <c r="J151" i="2"/>
  <c r="I151" i="2"/>
  <c r="H151" i="2"/>
  <c r="G151" i="2"/>
  <c r="F151" i="2"/>
  <c r="E151" i="2"/>
  <c r="D151" i="2"/>
  <c r="C151" i="2"/>
  <c r="B151" i="2"/>
  <c r="O150" i="2"/>
  <c r="N150" i="2"/>
  <c r="M150" i="2"/>
  <c r="L150" i="2"/>
  <c r="K150" i="2"/>
  <c r="J150" i="2"/>
  <c r="I150" i="2"/>
  <c r="H150" i="2"/>
  <c r="G150" i="2"/>
  <c r="F150" i="2"/>
  <c r="E150" i="2"/>
  <c r="D150" i="2"/>
  <c r="C150" i="2"/>
  <c r="B150" i="2"/>
  <c r="N149" i="2"/>
  <c r="M149" i="2"/>
  <c r="L149" i="2"/>
  <c r="K149" i="2"/>
  <c r="J149" i="2"/>
  <c r="I149" i="2"/>
  <c r="H149" i="2"/>
  <c r="G149" i="2"/>
  <c r="F149" i="2"/>
  <c r="E149" i="2"/>
  <c r="D149" i="2"/>
  <c r="C149" i="2"/>
  <c r="B149" i="2"/>
  <c r="N148" i="2"/>
  <c r="M148" i="2"/>
  <c r="L148" i="2"/>
  <c r="K148" i="2"/>
  <c r="J148" i="2"/>
  <c r="I148" i="2"/>
  <c r="H148" i="2"/>
  <c r="G148" i="2"/>
  <c r="F148" i="2"/>
  <c r="E148" i="2"/>
  <c r="D148" i="2"/>
  <c r="C148" i="2"/>
  <c r="B148" i="2"/>
  <c r="O147" i="2"/>
  <c r="N147" i="2"/>
  <c r="M147" i="2"/>
  <c r="L147" i="2"/>
  <c r="K147" i="2"/>
  <c r="J147" i="2"/>
  <c r="I147" i="2"/>
  <c r="H147" i="2"/>
  <c r="G147" i="2"/>
  <c r="F147" i="2"/>
  <c r="E147" i="2"/>
  <c r="D147" i="2"/>
  <c r="C147" i="2"/>
  <c r="B147" i="2"/>
  <c r="M146" i="2"/>
  <c r="L146" i="2"/>
  <c r="K146" i="2"/>
  <c r="I146" i="2"/>
  <c r="H146" i="2"/>
  <c r="G146" i="2"/>
  <c r="F146" i="2"/>
  <c r="E146" i="2"/>
  <c r="D146" i="2"/>
  <c r="C146" i="2"/>
  <c r="B146" i="2"/>
  <c r="L145" i="2"/>
  <c r="K145" i="2"/>
  <c r="I145" i="2"/>
  <c r="H145" i="2"/>
  <c r="F145" i="2"/>
  <c r="E145" i="2"/>
  <c r="D145" i="2"/>
  <c r="C145" i="2"/>
  <c r="B145" i="2"/>
  <c r="M144" i="2"/>
  <c r="L144" i="2"/>
  <c r="K144" i="2"/>
  <c r="J144" i="2"/>
  <c r="I144" i="2"/>
  <c r="H144" i="2"/>
  <c r="G144" i="2"/>
  <c r="F144" i="2"/>
  <c r="E144" i="2"/>
  <c r="D144" i="2"/>
  <c r="C144" i="2"/>
  <c r="B144" i="2"/>
  <c r="N143" i="2"/>
  <c r="M143" i="2"/>
  <c r="L143" i="2"/>
  <c r="K143" i="2"/>
  <c r="J143" i="2"/>
  <c r="I143" i="2"/>
  <c r="H143" i="2"/>
  <c r="G143" i="2"/>
  <c r="F143" i="2"/>
  <c r="E143" i="2"/>
  <c r="D143" i="2"/>
  <c r="C143" i="2"/>
  <c r="B143" i="2"/>
  <c r="M142" i="2"/>
  <c r="L142" i="2"/>
  <c r="K142" i="2"/>
  <c r="I142" i="2"/>
  <c r="H142" i="2"/>
  <c r="F142" i="2"/>
  <c r="E142" i="2"/>
  <c r="D142" i="2"/>
  <c r="C142" i="2"/>
  <c r="B142" i="2"/>
  <c r="O141" i="2"/>
  <c r="N141" i="2"/>
  <c r="M141" i="2"/>
  <c r="L141" i="2"/>
  <c r="K141" i="2"/>
  <c r="J141" i="2"/>
  <c r="I141" i="2"/>
  <c r="H141" i="2"/>
  <c r="G141" i="2"/>
  <c r="F141" i="2"/>
  <c r="E141" i="2"/>
  <c r="D141" i="2"/>
  <c r="C141" i="2"/>
  <c r="B141" i="2"/>
  <c r="M140" i="2"/>
  <c r="L140" i="2"/>
  <c r="K140" i="2"/>
  <c r="J140" i="2"/>
  <c r="I140" i="2"/>
  <c r="H140" i="2"/>
  <c r="G140" i="2"/>
  <c r="F140" i="2"/>
  <c r="E140" i="2"/>
  <c r="D140" i="2"/>
  <c r="C140" i="2"/>
  <c r="B140" i="2"/>
  <c r="L139" i="2"/>
  <c r="K139" i="2"/>
  <c r="I139" i="2"/>
  <c r="H139" i="2"/>
  <c r="F139" i="2"/>
  <c r="E139" i="2"/>
  <c r="D139" i="2"/>
  <c r="C139" i="2"/>
  <c r="B139" i="2"/>
  <c r="M138" i="2"/>
  <c r="L138" i="2"/>
  <c r="K138" i="2"/>
  <c r="J138" i="2"/>
  <c r="I138" i="2"/>
  <c r="H138" i="2"/>
  <c r="G138" i="2"/>
  <c r="F138" i="2"/>
  <c r="E138" i="2"/>
  <c r="D138" i="2"/>
  <c r="C138" i="2"/>
  <c r="B138" i="2"/>
  <c r="M137" i="2"/>
  <c r="L137" i="2"/>
  <c r="K137" i="2"/>
  <c r="J137" i="2"/>
  <c r="I137" i="2"/>
  <c r="H137" i="2"/>
  <c r="F137" i="2"/>
  <c r="E137" i="2"/>
  <c r="D137" i="2"/>
  <c r="C137" i="2"/>
  <c r="B137" i="2"/>
  <c r="O136" i="2"/>
  <c r="N136" i="2"/>
  <c r="M136" i="2"/>
  <c r="L136" i="2"/>
  <c r="K136" i="2"/>
  <c r="J136" i="2"/>
  <c r="I136" i="2"/>
  <c r="H136" i="2"/>
  <c r="G136" i="2"/>
  <c r="F136" i="2"/>
  <c r="E136" i="2"/>
  <c r="D136" i="2"/>
  <c r="C136" i="2"/>
  <c r="B136" i="2"/>
  <c r="O135" i="2"/>
  <c r="N135" i="2"/>
  <c r="M135" i="2"/>
  <c r="L135" i="2"/>
  <c r="K135" i="2"/>
  <c r="J135" i="2"/>
  <c r="I135" i="2"/>
  <c r="H135" i="2"/>
  <c r="G135" i="2"/>
  <c r="F135" i="2"/>
  <c r="E135" i="2"/>
  <c r="D135" i="2"/>
  <c r="C135" i="2"/>
  <c r="B135" i="2"/>
  <c r="O134" i="2"/>
  <c r="N134" i="2"/>
  <c r="M134" i="2"/>
  <c r="L134" i="2"/>
  <c r="K134" i="2"/>
  <c r="J134" i="2"/>
  <c r="I134" i="2"/>
  <c r="H134" i="2"/>
  <c r="G134" i="2"/>
  <c r="F134" i="2"/>
  <c r="E134" i="2"/>
  <c r="D134" i="2"/>
  <c r="C134" i="2"/>
  <c r="B134" i="2"/>
  <c r="L133" i="2"/>
  <c r="K133" i="2"/>
  <c r="J133" i="2"/>
  <c r="I133" i="2"/>
  <c r="H133" i="2"/>
  <c r="G133" i="2"/>
  <c r="F133" i="2"/>
  <c r="E133" i="2"/>
  <c r="D133" i="2"/>
  <c r="C133" i="2"/>
  <c r="B133" i="2"/>
  <c r="L132" i="2"/>
  <c r="K132" i="2"/>
  <c r="J132" i="2"/>
  <c r="I132" i="2"/>
  <c r="H132" i="2"/>
  <c r="F132" i="2"/>
  <c r="E132" i="2"/>
  <c r="D132" i="2"/>
  <c r="C132" i="2"/>
  <c r="B132" i="2"/>
  <c r="N131" i="2"/>
  <c r="M131" i="2"/>
  <c r="L131" i="2"/>
  <c r="K131" i="2"/>
  <c r="J131" i="2"/>
  <c r="I131" i="2"/>
  <c r="H131" i="2"/>
  <c r="G131" i="2"/>
  <c r="F131" i="2"/>
  <c r="E131" i="2"/>
  <c r="D131" i="2"/>
  <c r="C131" i="2"/>
  <c r="B131" i="2"/>
  <c r="N130" i="2"/>
  <c r="M130" i="2"/>
  <c r="L130" i="2"/>
  <c r="K130" i="2"/>
  <c r="J130" i="2"/>
  <c r="I130" i="2"/>
  <c r="H130" i="2"/>
  <c r="G130" i="2"/>
  <c r="F130" i="2"/>
  <c r="E130" i="2"/>
  <c r="D130" i="2"/>
  <c r="C130" i="2"/>
  <c r="B130" i="2"/>
  <c r="O129" i="2"/>
  <c r="N129" i="2"/>
  <c r="M129" i="2"/>
  <c r="L129" i="2"/>
  <c r="K129" i="2"/>
  <c r="J129" i="2"/>
  <c r="I129" i="2"/>
  <c r="H129" i="2"/>
  <c r="G129" i="2"/>
  <c r="F129" i="2"/>
  <c r="E129" i="2"/>
  <c r="D129" i="2"/>
  <c r="C129" i="2"/>
  <c r="B129" i="2"/>
  <c r="M128" i="2"/>
  <c r="L128" i="2"/>
  <c r="K128" i="2"/>
  <c r="J128" i="2"/>
  <c r="I128" i="2"/>
  <c r="H128" i="2"/>
  <c r="G128" i="2"/>
  <c r="F128" i="2"/>
  <c r="E128" i="2"/>
  <c r="D128" i="2"/>
  <c r="C128" i="2"/>
  <c r="B128" i="2"/>
  <c r="L127" i="2"/>
  <c r="K127" i="2"/>
  <c r="J127" i="2"/>
  <c r="I127" i="2"/>
  <c r="H127" i="2"/>
  <c r="G127" i="2"/>
  <c r="F127" i="2"/>
  <c r="E127" i="2"/>
  <c r="D127" i="2"/>
  <c r="C127" i="2"/>
  <c r="B127" i="2"/>
  <c r="N126" i="2"/>
  <c r="M126" i="2"/>
  <c r="L126" i="2"/>
  <c r="K126" i="2"/>
  <c r="J126" i="2"/>
  <c r="I126" i="2"/>
  <c r="H126" i="2"/>
  <c r="G126" i="2"/>
  <c r="F126" i="2"/>
  <c r="E126" i="2"/>
  <c r="D126" i="2"/>
  <c r="C126" i="2"/>
  <c r="B126" i="2"/>
  <c r="O125" i="2"/>
  <c r="N125" i="2"/>
  <c r="M125" i="2"/>
  <c r="L125" i="2"/>
  <c r="K125" i="2"/>
  <c r="J125" i="2"/>
  <c r="I125" i="2"/>
  <c r="H125" i="2"/>
  <c r="G125" i="2"/>
  <c r="F125" i="2"/>
  <c r="E125" i="2"/>
  <c r="D125" i="2"/>
  <c r="C125" i="2"/>
  <c r="B125" i="2"/>
  <c r="O124" i="2"/>
  <c r="N124" i="2"/>
  <c r="M124" i="2"/>
  <c r="L124" i="2"/>
  <c r="K124" i="2"/>
  <c r="J124" i="2"/>
  <c r="I124" i="2"/>
  <c r="H124" i="2"/>
  <c r="G124" i="2"/>
  <c r="F124" i="2"/>
  <c r="E124" i="2"/>
  <c r="D124" i="2"/>
  <c r="C124" i="2"/>
  <c r="B124" i="2"/>
  <c r="N123" i="2"/>
  <c r="M123" i="2"/>
  <c r="L123" i="2"/>
  <c r="K123" i="2"/>
  <c r="J123" i="2"/>
  <c r="I123" i="2"/>
  <c r="H123" i="2"/>
  <c r="G123" i="2"/>
  <c r="F123" i="2"/>
  <c r="E123" i="2"/>
  <c r="D123" i="2"/>
  <c r="C123" i="2"/>
  <c r="B123" i="2"/>
  <c r="O122" i="2"/>
  <c r="N122" i="2"/>
  <c r="M122" i="2"/>
  <c r="L122" i="2"/>
  <c r="K122" i="2"/>
  <c r="J122" i="2"/>
  <c r="I122" i="2"/>
  <c r="H122" i="2"/>
  <c r="G122" i="2"/>
  <c r="F122" i="2"/>
  <c r="E122" i="2"/>
  <c r="D122" i="2"/>
  <c r="C122" i="2"/>
  <c r="B122" i="2"/>
  <c r="M121" i="2"/>
  <c r="L121" i="2"/>
  <c r="K121" i="2"/>
  <c r="J121" i="2"/>
  <c r="I121" i="2"/>
  <c r="H121" i="2"/>
  <c r="G121" i="2"/>
  <c r="F121" i="2"/>
  <c r="E121" i="2"/>
  <c r="D121" i="2"/>
  <c r="C121" i="2"/>
  <c r="B121" i="2"/>
  <c r="O120" i="2"/>
  <c r="N120" i="2"/>
  <c r="M120" i="2"/>
  <c r="L120" i="2"/>
  <c r="K120" i="2"/>
  <c r="J120" i="2"/>
  <c r="I120" i="2"/>
  <c r="H120" i="2"/>
  <c r="G120" i="2"/>
  <c r="F120" i="2"/>
  <c r="E120" i="2"/>
  <c r="D120" i="2"/>
  <c r="C120" i="2"/>
  <c r="B120" i="2"/>
  <c r="L119" i="2"/>
  <c r="K119" i="2"/>
  <c r="I119" i="2"/>
  <c r="H119" i="2"/>
  <c r="F119" i="2"/>
  <c r="E119" i="2"/>
  <c r="D119" i="2"/>
  <c r="C119" i="2"/>
  <c r="B119" i="2"/>
  <c r="N118" i="2"/>
  <c r="M118" i="2"/>
  <c r="L118" i="2"/>
  <c r="K118" i="2"/>
  <c r="J118" i="2"/>
  <c r="I118" i="2"/>
  <c r="H118" i="2"/>
  <c r="G118" i="2"/>
  <c r="F118" i="2"/>
  <c r="E118" i="2"/>
  <c r="D118" i="2"/>
  <c r="C118" i="2"/>
  <c r="B118" i="2"/>
  <c r="N117" i="2"/>
  <c r="M117" i="2"/>
  <c r="L117" i="2"/>
  <c r="K117" i="2"/>
  <c r="J117" i="2"/>
  <c r="I117" i="2"/>
  <c r="H117" i="2"/>
  <c r="G117" i="2"/>
  <c r="F117" i="2"/>
  <c r="E117" i="2"/>
  <c r="D117" i="2"/>
  <c r="C117" i="2"/>
  <c r="B117" i="2"/>
  <c r="O116" i="2"/>
  <c r="N116" i="2"/>
  <c r="M116" i="2"/>
  <c r="L116" i="2"/>
  <c r="K116" i="2"/>
  <c r="J116" i="2"/>
  <c r="I116" i="2"/>
  <c r="H116" i="2"/>
  <c r="G116" i="2"/>
  <c r="F116" i="2"/>
  <c r="E116" i="2"/>
  <c r="D116" i="2"/>
  <c r="C116" i="2"/>
  <c r="B116" i="2"/>
  <c r="N115" i="2"/>
  <c r="M115" i="2"/>
  <c r="L115" i="2"/>
  <c r="K115" i="2"/>
  <c r="J115" i="2"/>
  <c r="I115" i="2"/>
  <c r="H115" i="2"/>
  <c r="G115" i="2"/>
  <c r="F115" i="2"/>
  <c r="E115" i="2"/>
  <c r="D115" i="2"/>
  <c r="C115" i="2"/>
  <c r="B115" i="2"/>
  <c r="O114" i="2"/>
  <c r="N114" i="2"/>
  <c r="M114" i="2"/>
  <c r="L114" i="2"/>
  <c r="K114" i="2"/>
  <c r="J114" i="2"/>
  <c r="I114" i="2"/>
  <c r="H114" i="2"/>
  <c r="G114" i="2"/>
  <c r="F114" i="2"/>
  <c r="E114" i="2"/>
  <c r="D114" i="2"/>
  <c r="C114" i="2"/>
  <c r="B114" i="2"/>
  <c r="N113" i="2"/>
  <c r="M113" i="2"/>
  <c r="L113" i="2"/>
  <c r="K113" i="2"/>
  <c r="J113" i="2"/>
  <c r="I113" i="2"/>
  <c r="H113" i="2"/>
  <c r="G113" i="2"/>
  <c r="F113" i="2"/>
  <c r="E113" i="2"/>
  <c r="D113" i="2"/>
  <c r="C113" i="2"/>
  <c r="B113" i="2"/>
  <c r="O112" i="2"/>
  <c r="N112" i="2"/>
  <c r="M112" i="2"/>
  <c r="L112" i="2"/>
  <c r="K112" i="2"/>
  <c r="J112" i="2"/>
  <c r="I112" i="2"/>
  <c r="H112" i="2"/>
  <c r="G112" i="2"/>
  <c r="F112" i="2"/>
  <c r="E112" i="2"/>
  <c r="D112" i="2"/>
  <c r="C112" i="2"/>
  <c r="B112" i="2"/>
  <c r="L111" i="2"/>
  <c r="K111" i="2"/>
  <c r="I111" i="2"/>
  <c r="H111" i="2"/>
  <c r="F111" i="2"/>
  <c r="E111" i="2"/>
  <c r="D111" i="2"/>
  <c r="C111" i="2"/>
  <c r="B111" i="2"/>
  <c r="L110" i="2"/>
  <c r="K110" i="2"/>
  <c r="I110" i="2"/>
  <c r="H110" i="2"/>
  <c r="G110" i="2"/>
  <c r="F110" i="2"/>
  <c r="E110" i="2"/>
  <c r="D110" i="2"/>
  <c r="C110" i="2"/>
  <c r="B110" i="2"/>
  <c r="M109" i="2"/>
  <c r="L109" i="2"/>
  <c r="K109" i="2"/>
  <c r="J109" i="2"/>
  <c r="I109" i="2"/>
  <c r="H109" i="2"/>
  <c r="F109" i="2"/>
  <c r="E109" i="2"/>
  <c r="D109" i="2"/>
  <c r="C109" i="2"/>
  <c r="B109" i="2"/>
  <c r="N108" i="2"/>
  <c r="M108" i="2"/>
  <c r="L108" i="2"/>
  <c r="K108" i="2"/>
  <c r="J108" i="2"/>
  <c r="I108" i="2"/>
  <c r="H108" i="2"/>
  <c r="G108" i="2"/>
  <c r="F108" i="2"/>
  <c r="E108" i="2"/>
  <c r="D108" i="2"/>
  <c r="C108" i="2"/>
  <c r="B108" i="2"/>
  <c r="M107" i="2"/>
  <c r="L107" i="2"/>
  <c r="K107" i="2"/>
  <c r="J107" i="2"/>
  <c r="I107" i="2"/>
  <c r="H107" i="2"/>
  <c r="G107" i="2"/>
  <c r="F107" i="2"/>
  <c r="E107" i="2"/>
  <c r="D107" i="2"/>
  <c r="C107" i="2"/>
  <c r="B107" i="2"/>
  <c r="M106" i="2"/>
  <c r="L106" i="2"/>
  <c r="K106" i="2"/>
  <c r="J106" i="2"/>
  <c r="I106" i="2"/>
  <c r="H106" i="2"/>
  <c r="F106" i="2"/>
  <c r="E106" i="2"/>
  <c r="D106" i="2"/>
  <c r="C106" i="2"/>
  <c r="B106" i="2"/>
  <c r="O105" i="2"/>
  <c r="N105" i="2"/>
  <c r="M105" i="2"/>
  <c r="L105" i="2"/>
  <c r="K105" i="2"/>
  <c r="J105" i="2"/>
  <c r="I105" i="2"/>
  <c r="H105" i="2"/>
  <c r="G105" i="2"/>
  <c r="F105" i="2"/>
  <c r="E105" i="2"/>
  <c r="D105" i="2"/>
  <c r="C105" i="2"/>
  <c r="B105" i="2"/>
  <c r="L104" i="2"/>
  <c r="K104" i="2"/>
  <c r="I104" i="2"/>
  <c r="H104" i="2"/>
  <c r="G104" i="2"/>
  <c r="F104" i="2"/>
  <c r="E104" i="2"/>
  <c r="D104" i="2"/>
  <c r="C104" i="2"/>
  <c r="B104" i="2"/>
  <c r="L103" i="2"/>
  <c r="K103" i="2"/>
  <c r="J103" i="2"/>
  <c r="I103" i="2"/>
  <c r="H103" i="2"/>
  <c r="F103" i="2"/>
  <c r="E103" i="2"/>
  <c r="D103" i="2"/>
  <c r="C103" i="2"/>
  <c r="B103" i="2"/>
  <c r="N102" i="2"/>
  <c r="M102" i="2"/>
  <c r="L102" i="2"/>
  <c r="K102" i="2"/>
  <c r="J102" i="2"/>
  <c r="I102" i="2"/>
  <c r="H102" i="2"/>
  <c r="G102" i="2"/>
  <c r="F102" i="2"/>
  <c r="E102" i="2"/>
  <c r="D102" i="2"/>
  <c r="C102" i="2"/>
  <c r="B102" i="2"/>
  <c r="L101" i="2"/>
  <c r="K101" i="2"/>
  <c r="I101" i="2"/>
  <c r="H101" i="2"/>
  <c r="G101" i="2"/>
  <c r="F101" i="2"/>
  <c r="E101" i="2"/>
  <c r="D101" i="2"/>
  <c r="C101" i="2"/>
  <c r="B101" i="2"/>
  <c r="L100" i="2"/>
  <c r="K100" i="2"/>
  <c r="J100" i="2"/>
  <c r="I100" i="2"/>
  <c r="H100" i="2"/>
  <c r="F100" i="2"/>
  <c r="E100" i="2"/>
  <c r="D100" i="2"/>
  <c r="C100" i="2"/>
  <c r="B100" i="2"/>
  <c r="O99" i="2"/>
  <c r="N99" i="2"/>
  <c r="M99" i="2"/>
  <c r="L99" i="2"/>
  <c r="K99" i="2"/>
  <c r="J99" i="2"/>
  <c r="I99" i="2"/>
  <c r="H99" i="2"/>
  <c r="G99" i="2"/>
  <c r="F99" i="2"/>
  <c r="E99" i="2"/>
  <c r="D99" i="2"/>
  <c r="C99" i="2"/>
  <c r="B99" i="2"/>
  <c r="M98" i="2"/>
  <c r="L98" i="2"/>
  <c r="K98" i="2"/>
  <c r="I98" i="2"/>
  <c r="H98" i="2"/>
  <c r="F98" i="2"/>
  <c r="E98" i="2"/>
  <c r="D98" i="2"/>
  <c r="C98" i="2"/>
  <c r="B98" i="2"/>
  <c r="O97" i="2"/>
  <c r="N97" i="2"/>
  <c r="M97" i="2"/>
  <c r="L97" i="2"/>
  <c r="K97" i="2"/>
  <c r="J97" i="2"/>
  <c r="I97" i="2"/>
  <c r="H97" i="2"/>
  <c r="G97" i="2"/>
  <c r="F97" i="2"/>
  <c r="E97" i="2"/>
  <c r="D97" i="2"/>
  <c r="C97" i="2"/>
  <c r="B97" i="2"/>
  <c r="L96" i="2"/>
  <c r="K96" i="2"/>
  <c r="I96" i="2"/>
  <c r="H96" i="2"/>
  <c r="F96" i="2"/>
  <c r="E96" i="2"/>
  <c r="D96" i="2"/>
  <c r="C96" i="2"/>
  <c r="B96" i="2"/>
  <c r="L95" i="2"/>
  <c r="K95" i="2"/>
  <c r="I95" i="2"/>
  <c r="H95" i="2"/>
  <c r="F95" i="2"/>
  <c r="E95" i="2"/>
  <c r="D95" i="2"/>
  <c r="C95" i="2"/>
  <c r="B95" i="2"/>
  <c r="L94" i="2"/>
  <c r="K94" i="2"/>
  <c r="J94" i="2"/>
  <c r="I94" i="2"/>
  <c r="H94" i="2"/>
  <c r="F94" i="2"/>
  <c r="E94" i="2"/>
  <c r="D94" i="2"/>
  <c r="C94" i="2"/>
  <c r="B94" i="2"/>
  <c r="O93" i="2"/>
  <c r="N93" i="2"/>
  <c r="M93" i="2"/>
  <c r="L93" i="2"/>
  <c r="K93" i="2"/>
  <c r="J93" i="2"/>
  <c r="I93" i="2"/>
  <c r="H93" i="2"/>
  <c r="G93" i="2"/>
  <c r="F93" i="2"/>
  <c r="E93" i="2"/>
  <c r="D93" i="2"/>
  <c r="C93" i="2"/>
  <c r="B93" i="2"/>
  <c r="O92" i="2"/>
  <c r="N92" i="2"/>
  <c r="M92" i="2"/>
  <c r="L92" i="2"/>
  <c r="K92" i="2"/>
  <c r="J92" i="2"/>
  <c r="I92" i="2"/>
  <c r="H92" i="2"/>
  <c r="G92" i="2"/>
  <c r="F92" i="2"/>
  <c r="E92" i="2"/>
  <c r="D92" i="2"/>
  <c r="C92" i="2"/>
  <c r="B92" i="2"/>
  <c r="N91" i="2"/>
  <c r="M91" i="2"/>
  <c r="L91" i="2"/>
  <c r="K91" i="2"/>
  <c r="J91" i="2"/>
  <c r="I91" i="2"/>
  <c r="H91" i="2"/>
  <c r="G91" i="2"/>
  <c r="F91" i="2"/>
  <c r="E91" i="2"/>
  <c r="D91" i="2"/>
  <c r="C91" i="2"/>
  <c r="B91" i="2"/>
  <c r="O90" i="2"/>
  <c r="N90" i="2"/>
  <c r="M90" i="2"/>
  <c r="L90" i="2"/>
  <c r="K90" i="2"/>
  <c r="J90" i="2"/>
  <c r="I90" i="2"/>
  <c r="H90" i="2"/>
  <c r="G90" i="2"/>
  <c r="F90" i="2"/>
  <c r="E90" i="2"/>
  <c r="D90" i="2"/>
  <c r="C90" i="2"/>
  <c r="B90" i="2"/>
  <c r="L89" i="2"/>
  <c r="K89" i="2"/>
  <c r="I89" i="2"/>
  <c r="H89" i="2"/>
  <c r="F89" i="2"/>
  <c r="E89" i="2"/>
  <c r="D89" i="2"/>
  <c r="C89" i="2"/>
  <c r="B89" i="2"/>
  <c r="M88" i="2"/>
  <c r="L88" i="2"/>
  <c r="K88" i="2"/>
  <c r="I88" i="2"/>
  <c r="H88" i="2"/>
  <c r="F88" i="2"/>
  <c r="E88" i="2"/>
  <c r="D88" i="2"/>
  <c r="C88" i="2"/>
  <c r="B88" i="2"/>
  <c r="N87" i="2"/>
  <c r="M87" i="2"/>
  <c r="L87" i="2"/>
  <c r="K87" i="2"/>
  <c r="J87" i="2"/>
  <c r="I87" i="2"/>
  <c r="H87" i="2"/>
  <c r="G87" i="2"/>
  <c r="F87" i="2"/>
  <c r="E87" i="2"/>
  <c r="D87" i="2"/>
  <c r="C87" i="2"/>
  <c r="B87" i="2"/>
  <c r="M86" i="2"/>
  <c r="L86" i="2"/>
  <c r="K86" i="2"/>
  <c r="J86" i="2"/>
  <c r="I86" i="2"/>
  <c r="H86" i="2"/>
  <c r="G86" i="2"/>
  <c r="F86" i="2"/>
  <c r="E86" i="2"/>
  <c r="D86" i="2"/>
  <c r="C86" i="2"/>
  <c r="B86" i="2"/>
  <c r="L85" i="2"/>
  <c r="K85" i="2"/>
  <c r="J85" i="2"/>
  <c r="I85" i="2"/>
  <c r="H85" i="2"/>
  <c r="F85" i="2"/>
  <c r="E85" i="2"/>
  <c r="D85" i="2"/>
  <c r="C85" i="2"/>
  <c r="B85" i="2"/>
  <c r="O84" i="2"/>
  <c r="N84" i="2"/>
  <c r="M84" i="2"/>
  <c r="L84" i="2"/>
  <c r="K84" i="2"/>
  <c r="J84" i="2"/>
  <c r="I84" i="2"/>
  <c r="H84" i="2"/>
  <c r="G84" i="2"/>
  <c r="F84" i="2"/>
  <c r="E84" i="2"/>
  <c r="D84" i="2"/>
  <c r="C84" i="2"/>
  <c r="B84" i="2"/>
  <c r="M83" i="2"/>
  <c r="L83" i="2"/>
  <c r="K83" i="2"/>
  <c r="I83" i="2"/>
  <c r="H83" i="2"/>
  <c r="G83" i="2"/>
  <c r="F83" i="2"/>
  <c r="E83" i="2"/>
  <c r="D83" i="2"/>
  <c r="C83" i="2"/>
  <c r="B83" i="2"/>
  <c r="N82" i="2"/>
  <c r="M82" i="2"/>
  <c r="L82" i="2"/>
  <c r="K82" i="2"/>
  <c r="J82" i="2"/>
  <c r="I82" i="2"/>
  <c r="H82" i="2"/>
  <c r="G82" i="2"/>
  <c r="F82" i="2"/>
  <c r="E82" i="2"/>
  <c r="D82" i="2"/>
  <c r="C82" i="2"/>
  <c r="B82" i="2"/>
  <c r="L81" i="2"/>
  <c r="K81" i="2"/>
  <c r="J81" i="2"/>
  <c r="I81" i="2"/>
  <c r="H81" i="2"/>
  <c r="F81" i="2"/>
  <c r="E81" i="2"/>
  <c r="D81" i="2"/>
  <c r="C81" i="2"/>
  <c r="B81" i="2"/>
  <c r="O80" i="2"/>
  <c r="N80" i="2"/>
  <c r="M80" i="2"/>
  <c r="L80" i="2"/>
  <c r="K80" i="2"/>
  <c r="J80" i="2"/>
  <c r="I80" i="2"/>
  <c r="H80" i="2"/>
  <c r="G80" i="2"/>
  <c r="F80" i="2"/>
  <c r="E80" i="2"/>
  <c r="D80" i="2"/>
  <c r="C80" i="2"/>
  <c r="B80" i="2"/>
  <c r="N79" i="2"/>
  <c r="M79" i="2"/>
  <c r="L79" i="2"/>
  <c r="K79" i="2"/>
  <c r="I79" i="2"/>
  <c r="H79" i="2"/>
  <c r="F79" i="2"/>
  <c r="E79" i="2"/>
  <c r="D79" i="2"/>
  <c r="C79" i="2"/>
  <c r="B79" i="2"/>
  <c r="O78" i="2"/>
  <c r="N78" i="2"/>
  <c r="M78" i="2"/>
  <c r="L78" i="2"/>
  <c r="K78" i="2"/>
  <c r="J78" i="2"/>
  <c r="I78" i="2"/>
  <c r="H78" i="2"/>
  <c r="G78" i="2"/>
  <c r="F78" i="2"/>
  <c r="E78" i="2"/>
  <c r="D78" i="2"/>
  <c r="C78" i="2"/>
  <c r="B78" i="2"/>
  <c r="M77" i="2"/>
  <c r="L77" i="2"/>
  <c r="K77" i="2"/>
  <c r="I77" i="2"/>
  <c r="H77" i="2"/>
  <c r="F77" i="2"/>
  <c r="E77" i="2"/>
  <c r="D77" i="2"/>
  <c r="C77" i="2"/>
  <c r="B77" i="2"/>
  <c r="N76" i="2"/>
  <c r="M76" i="2"/>
  <c r="L76" i="2"/>
  <c r="K76" i="2"/>
  <c r="J76" i="2"/>
  <c r="I76" i="2"/>
  <c r="H76" i="2"/>
  <c r="G76" i="2"/>
  <c r="F76" i="2"/>
  <c r="E76" i="2"/>
  <c r="D76" i="2"/>
  <c r="C76" i="2"/>
  <c r="B76" i="2"/>
  <c r="L75" i="2"/>
  <c r="K75" i="2"/>
  <c r="J75" i="2"/>
  <c r="I75" i="2"/>
  <c r="H75" i="2"/>
  <c r="F75" i="2"/>
  <c r="E75" i="2"/>
  <c r="D75" i="2"/>
  <c r="C75" i="2"/>
  <c r="B75" i="2"/>
  <c r="M74" i="2"/>
  <c r="L74" i="2"/>
  <c r="K74" i="2"/>
  <c r="I74" i="2"/>
  <c r="H74" i="2"/>
  <c r="G74" i="2"/>
  <c r="F74" i="2"/>
  <c r="E74" i="2"/>
  <c r="D74" i="2"/>
  <c r="C74" i="2"/>
  <c r="B74" i="2"/>
  <c r="M73" i="2"/>
  <c r="L73" i="2"/>
  <c r="K73" i="2"/>
  <c r="J73" i="2"/>
  <c r="I73" i="2"/>
  <c r="H73" i="2"/>
  <c r="G73" i="2"/>
  <c r="F73" i="2"/>
  <c r="E73" i="2"/>
  <c r="D73" i="2"/>
  <c r="C73" i="2"/>
  <c r="B73" i="2"/>
  <c r="L72" i="2"/>
  <c r="K72" i="2"/>
  <c r="I72" i="2"/>
  <c r="H72" i="2"/>
  <c r="F72" i="2"/>
  <c r="E72" i="2"/>
  <c r="D72" i="2"/>
  <c r="C72" i="2"/>
  <c r="B72" i="2"/>
  <c r="L71" i="2"/>
  <c r="K71" i="2"/>
  <c r="J71" i="2"/>
  <c r="I71" i="2"/>
  <c r="H71" i="2"/>
  <c r="G71" i="2"/>
  <c r="F71" i="2"/>
  <c r="E71" i="2"/>
  <c r="D71" i="2"/>
  <c r="C71" i="2"/>
  <c r="B71" i="2"/>
  <c r="L70" i="2"/>
  <c r="K70" i="2"/>
  <c r="J70" i="2"/>
  <c r="I70" i="2"/>
  <c r="H70" i="2"/>
  <c r="G70" i="2"/>
  <c r="F70" i="2"/>
  <c r="E70" i="2"/>
  <c r="D70" i="2"/>
  <c r="C70" i="2"/>
  <c r="B70" i="2"/>
  <c r="N69" i="2"/>
  <c r="M69" i="2"/>
  <c r="L69" i="2"/>
  <c r="K69" i="2"/>
  <c r="J69" i="2"/>
  <c r="I69" i="2"/>
  <c r="H69" i="2"/>
  <c r="G69" i="2"/>
  <c r="F69" i="2"/>
  <c r="E69" i="2"/>
  <c r="D69" i="2"/>
  <c r="C69" i="2"/>
  <c r="B69" i="2"/>
  <c r="M68" i="2"/>
  <c r="L68" i="2"/>
  <c r="K68" i="2"/>
  <c r="I68" i="2"/>
  <c r="H68" i="2"/>
  <c r="G68" i="2"/>
  <c r="F68" i="2"/>
  <c r="E68" i="2"/>
  <c r="D68" i="2"/>
  <c r="C68" i="2"/>
  <c r="B68" i="2"/>
  <c r="L67" i="2"/>
  <c r="K67" i="2"/>
  <c r="J67" i="2"/>
  <c r="I67" i="2"/>
  <c r="H67" i="2"/>
  <c r="G67" i="2"/>
  <c r="F67" i="2"/>
  <c r="E67" i="2"/>
  <c r="D67" i="2"/>
  <c r="C67" i="2"/>
  <c r="B67" i="2"/>
  <c r="O66" i="2"/>
  <c r="N66" i="2"/>
  <c r="M66" i="2"/>
  <c r="L66" i="2"/>
  <c r="K66" i="2"/>
  <c r="J66" i="2"/>
  <c r="I66" i="2"/>
  <c r="H66" i="2"/>
  <c r="G66" i="2"/>
  <c r="F66" i="2"/>
  <c r="E66" i="2"/>
  <c r="D66" i="2"/>
  <c r="C66" i="2"/>
  <c r="B66" i="2"/>
  <c r="M65" i="2"/>
  <c r="L65" i="2"/>
  <c r="K65" i="2"/>
  <c r="I65" i="2"/>
  <c r="H65" i="2"/>
  <c r="G65" i="2"/>
  <c r="F65" i="2"/>
  <c r="E65" i="2"/>
  <c r="D65" i="2"/>
  <c r="C65" i="2"/>
  <c r="B65" i="2"/>
  <c r="L64" i="2"/>
  <c r="K64" i="2"/>
  <c r="I64" i="2"/>
  <c r="H64" i="2"/>
  <c r="F64" i="2"/>
  <c r="E64" i="2"/>
  <c r="D64" i="2"/>
  <c r="C64" i="2"/>
  <c r="B64" i="2"/>
  <c r="O63" i="2"/>
  <c r="N63" i="2"/>
  <c r="M63" i="2"/>
  <c r="L63" i="2"/>
  <c r="K63" i="2"/>
  <c r="J63" i="2"/>
  <c r="I63" i="2"/>
  <c r="H63" i="2"/>
  <c r="G63" i="2"/>
  <c r="F63" i="2"/>
  <c r="E63" i="2"/>
  <c r="D63" i="2"/>
  <c r="C63" i="2"/>
  <c r="B63" i="2"/>
  <c r="L62" i="2"/>
  <c r="K62" i="2"/>
  <c r="I62" i="2"/>
  <c r="H62" i="2"/>
  <c r="G62" i="2"/>
  <c r="F62" i="2"/>
  <c r="E62" i="2"/>
  <c r="D62" i="2"/>
  <c r="C62" i="2"/>
  <c r="B62" i="2"/>
  <c r="L61" i="2"/>
  <c r="K61" i="2"/>
  <c r="J61" i="2"/>
  <c r="I61" i="2"/>
  <c r="H61" i="2"/>
  <c r="G61" i="2"/>
  <c r="F61" i="2"/>
  <c r="E61" i="2"/>
  <c r="D61" i="2"/>
  <c r="C61" i="2"/>
  <c r="B61" i="2"/>
  <c r="N60" i="2"/>
  <c r="M60" i="2"/>
  <c r="L60" i="2"/>
  <c r="K60" i="2"/>
  <c r="J60" i="2"/>
  <c r="I60" i="2"/>
  <c r="H60" i="2"/>
  <c r="F60" i="2"/>
  <c r="E60" i="2"/>
  <c r="D60" i="2"/>
  <c r="C60" i="2"/>
  <c r="B60" i="2"/>
  <c r="M59" i="2"/>
  <c r="L59" i="2"/>
  <c r="K59" i="2"/>
  <c r="I59" i="2"/>
  <c r="H59" i="2"/>
  <c r="G59" i="2"/>
  <c r="F59" i="2"/>
  <c r="E59" i="2"/>
  <c r="D59" i="2"/>
  <c r="C59" i="2"/>
  <c r="B59" i="2"/>
  <c r="L58" i="2"/>
  <c r="K58" i="2"/>
  <c r="J58" i="2"/>
  <c r="I58" i="2"/>
  <c r="H58" i="2"/>
  <c r="G58" i="2"/>
  <c r="F58" i="2"/>
  <c r="E58" i="2"/>
  <c r="D58" i="2"/>
  <c r="C58" i="2"/>
  <c r="B58" i="2"/>
  <c r="L57" i="2"/>
  <c r="K57" i="2"/>
  <c r="I57" i="2"/>
  <c r="H57" i="2"/>
  <c r="F57" i="2"/>
  <c r="E57" i="2"/>
  <c r="D57" i="2"/>
  <c r="C57" i="2"/>
  <c r="B57" i="2"/>
  <c r="N56" i="2"/>
  <c r="M56" i="2"/>
  <c r="L56" i="2"/>
  <c r="K56" i="2"/>
  <c r="J56" i="2"/>
  <c r="I56" i="2"/>
  <c r="H56" i="2"/>
  <c r="G56" i="2"/>
  <c r="F56" i="2"/>
  <c r="E56" i="2"/>
  <c r="D56" i="2"/>
  <c r="C56" i="2"/>
  <c r="B56" i="2"/>
  <c r="M55" i="2"/>
  <c r="L55" i="2"/>
  <c r="K55" i="2"/>
  <c r="I55" i="2"/>
  <c r="H55" i="2"/>
  <c r="F55" i="2"/>
  <c r="E55" i="2"/>
  <c r="D55" i="2"/>
  <c r="C55" i="2"/>
  <c r="B55" i="2"/>
  <c r="O54" i="2"/>
  <c r="N54" i="2"/>
  <c r="M54" i="2"/>
  <c r="L54" i="2"/>
  <c r="K54" i="2"/>
  <c r="J54" i="2"/>
  <c r="I54" i="2"/>
  <c r="H54" i="2"/>
  <c r="G54" i="2"/>
  <c r="F54" i="2"/>
  <c r="E54" i="2"/>
  <c r="D54" i="2"/>
  <c r="C54" i="2"/>
  <c r="B54" i="2"/>
  <c r="L53" i="2"/>
  <c r="K53" i="2"/>
  <c r="I53" i="2"/>
  <c r="H53" i="2"/>
  <c r="G53" i="2"/>
  <c r="F53" i="2"/>
  <c r="E53" i="2"/>
  <c r="D53" i="2"/>
  <c r="C53" i="2"/>
  <c r="B53" i="2"/>
  <c r="L52" i="2"/>
  <c r="K52" i="2"/>
  <c r="J52" i="2"/>
  <c r="I52" i="2"/>
  <c r="H52" i="2"/>
  <c r="G52" i="2"/>
  <c r="F52" i="2"/>
  <c r="E52" i="2"/>
  <c r="D52" i="2"/>
  <c r="C52" i="2"/>
  <c r="B52" i="2"/>
  <c r="N51" i="2"/>
  <c r="M51" i="2"/>
  <c r="L51" i="2"/>
  <c r="K51" i="2"/>
  <c r="J51" i="2"/>
  <c r="I51" i="2"/>
  <c r="H51" i="2"/>
  <c r="G51" i="2"/>
  <c r="F51" i="2"/>
  <c r="E51" i="2"/>
  <c r="D51" i="2"/>
  <c r="C51" i="2"/>
  <c r="B51" i="2"/>
  <c r="M50" i="2"/>
  <c r="L50" i="2"/>
  <c r="K50" i="2"/>
  <c r="I50" i="2"/>
  <c r="H50" i="2"/>
  <c r="G50" i="2"/>
  <c r="F50" i="2"/>
  <c r="E50" i="2"/>
  <c r="D50" i="2"/>
  <c r="C50" i="2"/>
  <c r="B50" i="2"/>
  <c r="L49" i="2"/>
  <c r="K49" i="2"/>
  <c r="J49" i="2"/>
  <c r="I49" i="2"/>
  <c r="H49" i="2"/>
  <c r="G49" i="2"/>
  <c r="F49" i="2"/>
  <c r="E49" i="2"/>
  <c r="D49" i="2"/>
  <c r="C49" i="2"/>
  <c r="B49" i="2"/>
  <c r="L48" i="2"/>
  <c r="K48" i="2"/>
  <c r="I48" i="2"/>
  <c r="H48" i="2"/>
  <c r="F48" i="2"/>
  <c r="E48" i="2"/>
  <c r="D48" i="2"/>
  <c r="C48" i="2"/>
  <c r="B48" i="2"/>
  <c r="O47" i="2"/>
  <c r="N47" i="2"/>
  <c r="M47" i="2"/>
  <c r="L47" i="2"/>
  <c r="K47" i="2"/>
  <c r="J47" i="2"/>
  <c r="I47" i="2"/>
  <c r="H47" i="2"/>
  <c r="G47" i="2"/>
  <c r="F47" i="2"/>
  <c r="E47" i="2"/>
  <c r="D47" i="2"/>
  <c r="C47" i="2"/>
  <c r="B47" i="2"/>
  <c r="L46" i="2"/>
  <c r="K46" i="2"/>
  <c r="I46" i="2"/>
  <c r="H46" i="2"/>
  <c r="F46" i="2"/>
  <c r="E46" i="2"/>
  <c r="D46" i="2"/>
  <c r="C46" i="2"/>
  <c r="B46" i="2"/>
  <c r="O45" i="2"/>
  <c r="N45" i="2"/>
  <c r="M45" i="2"/>
  <c r="L45" i="2"/>
  <c r="K45" i="2"/>
  <c r="J45" i="2"/>
  <c r="I45" i="2"/>
  <c r="H45" i="2"/>
  <c r="G45" i="2"/>
  <c r="F45" i="2"/>
  <c r="E45" i="2"/>
  <c r="D45" i="2"/>
  <c r="C45" i="2"/>
  <c r="B45" i="2"/>
  <c r="M44" i="2"/>
  <c r="L44" i="2"/>
  <c r="K44" i="2"/>
  <c r="I44" i="2"/>
  <c r="H44" i="2"/>
  <c r="G44" i="2"/>
  <c r="F44" i="2"/>
  <c r="E44" i="2"/>
  <c r="D44" i="2"/>
  <c r="C44" i="2"/>
  <c r="B44" i="2"/>
  <c r="M43" i="2"/>
  <c r="L43" i="2"/>
  <c r="K43" i="2"/>
  <c r="J43" i="2"/>
  <c r="I43" i="2"/>
  <c r="H43" i="2"/>
  <c r="G43" i="2"/>
  <c r="F43" i="2"/>
  <c r="E43" i="2"/>
  <c r="D43" i="2"/>
  <c r="C43" i="2"/>
  <c r="B43" i="2"/>
  <c r="M42" i="2"/>
  <c r="L42" i="2"/>
  <c r="K42" i="2"/>
  <c r="I42" i="2"/>
  <c r="H42" i="2"/>
  <c r="F42" i="2"/>
  <c r="E42" i="2"/>
  <c r="D42" i="2"/>
  <c r="C42" i="2"/>
  <c r="B42" i="2"/>
  <c r="L41" i="2"/>
  <c r="K41" i="2"/>
  <c r="I41" i="2"/>
  <c r="H41" i="2"/>
  <c r="F41" i="2"/>
  <c r="E41" i="2"/>
  <c r="D41" i="2"/>
  <c r="C41" i="2"/>
  <c r="B41" i="2"/>
  <c r="M40" i="2"/>
  <c r="L40" i="2"/>
  <c r="K40" i="2"/>
  <c r="J40" i="2"/>
  <c r="I40" i="2"/>
  <c r="H40" i="2"/>
  <c r="G40" i="2"/>
  <c r="F40" i="2"/>
  <c r="E40" i="2"/>
  <c r="D40" i="2"/>
  <c r="C40" i="2"/>
  <c r="B40" i="2"/>
  <c r="O39" i="2"/>
  <c r="N39" i="2"/>
  <c r="L39" i="2"/>
  <c r="K39" i="2"/>
  <c r="J39" i="2"/>
  <c r="I39" i="2"/>
  <c r="H39" i="2"/>
  <c r="G39" i="2"/>
  <c r="F39" i="2"/>
  <c r="E39" i="2"/>
  <c r="D39" i="2"/>
  <c r="C39" i="2"/>
  <c r="B39" i="2"/>
  <c r="N38" i="2"/>
  <c r="M38" i="2"/>
  <c r="L38" i="2"/>
  <c r="K38" i="2"/>
  <c r="J38" i="2"/>
  <c r="I38" i="2"/>
  <c r="H38" i="2"/>
  <c r="G38" i="2"/>
  <c r="F38" i="2"/>
  <c r="E38" i="2"/>
  <c r="D38" i="2"/>
  <c r="C38" i="2"/>
  <c r="B38" i="2"/>
  <c r="M37" i="2"/>
  <c r="L37" i="2"/>
  <c r="K37" i="2"/>
  <c r="J37" i="2"/>
  <c r="I37" i="2"/>
  <c r="H37" i="2"/>
  <c r="G37" i="2"/>
  <c r="F37" i="2"/>
  <c r="E37" i="2"/>
  <c r="D37" i="2"/>
  <c r="C37" i="2"/>
  <c r="B37" i="2"/>
  <c r="L36" i="2"/>
  <c r="K36" i="2"/>
  <c r="I36" i="2"/>
  <c r="H36" i="2"/>
  <c r="F36" i="2"/>
  <c r="E36" i="2"/>
  <c r="D36" i="2"/>
  <c r="C36" i="2"/>
  <c r="B36" i="2"/>
  <c r="M35" i="2"/>
  <c r="L35" i="2"/>
  <c r="K35" i="2"/>
  <c r="I35" i="2"/>
  <c r="H35" i="2"/>
  <c r="F35" i="2"/>
  <c r="E35" i="2"/>
  <c r="D35" i="2"/>
  <c r="C35" i="2"/>
  <c r="B35" i="2"/>
  <c r="M34" i="2"/>
  <c r="L34" i="2"/>
  <c r="K34" i="2"/>
  <c r="J34" i="2"/>
  <c r="I34" i="2"/>
  <c r="H34" i="2"/>
  <c r="G34" i="2"/>
  <c r="F34" i="2"/>
  <c r="E34" i="2"/>
  <c r="D34" i="2"/>
  <c r="C34" i="2"/>
  <c r="B34" i="2"/>
  <c r="L33" i="2"/>
  <c r="K33" i="2"/>
  <c r="I33" i="2"/>
  <c r="H33" i="2"/>
  <c r="G33" i="2"/>
  <c r="F33" i="2"/>
  <c r="E33" i="2"/>
  <c r="D33" i="2"/>
  <c r="C33" i="2"/>
  <c r="B33" i="2"/>
  <c r="M32" i="2"/>
  <c r="L32" i="2"/>
  <c r="K32" i="2"/>
  <c r="J32" i="2"/>
  <c r="I32" i="2"/>
  <c r="H32" i="2"/>
  <c r="G32" i="2"/>
  <c r="F32" i="2"/>
  <c r="E32" i="2"/>
  <c r="D32" i="2"/>
  <c r="C32" i="2"/>
  <c r="B32" i="2"/>
  <c r="M31" i="2"/>
  <c r="L31" i="2"/>
  <c r="K31" i="2"/>
  <c r="J31" i="2"/>
  <c r="I31" i="2"/>
  <c r="H31" i="2"/>
  <c r="G31" i="2"/>
  <c r="F31" i="2"/>
  <c r="E31" i="2"/>
  <c r="D31" i="2"/>
  <c r="C31" i="2"/>
  <c r="B31" i="2"/>
  <c r="N30" i="2"/>
  <c r="M30" i="2"/>
  <c r="L30" i="2"/>
  <c r="K30" i="2"/>
  <c r="I30" i="2"/>
  <c r="H30" i="2"/>
  <c r="F30" i="2"/>
  <c r="E30" i="2"/>
  <c r="D30" i="2"/>
  <c r="C30" i="2"/>
  <c r="B30" i="2"/>
  <c r="L29" i="2"/>
  <c r="K29" i="2"/>
  <c r="J29" i="2"/>
  <c r="I29" i="2"/>
  <c r="H29" i="2"/>
  <c r="G29" i="2"/>
  <c r="F29" i="2"/>
  <c r="E29" i="2"/>
  <c r="D29" i="2"/>
  <c r="C29" i="2"/>
  <c r="B29" i="2"/>
  <c r="M28" i="2"/>
  <c r="L28" i="2"/>
  <c r="K28" i="2"/>
  <c r="J28" i="2"/>
  <c r="I28" i="2"/>
  <c r="H28" i="2"/>
  <c r="G28" i="2"/>
  <c r="F28" i="2"/>
  <c r="E28" i="2"/>
  <c r="D28" i="2"/>
  <c r="C28" i="2"/>
  <c r="B28" i="2"/>
  <c r="L27" i="2"/>
  <c r="K27" i="2"/>
  <c r="I27" i="2"/>
  <c r="H27" i="2"/>
  <c r="F27" i="2"/>
  <c r="E27" i="2"/>
  <c r="D27" i="2"/>
  <c r="C27" i="2"/>
  <c r="B27" i="2"/>
  <c r="M26" i="2"/>
  <c r="L26" i="2"/>
  <c r="K26" i="2"/>
  <c r="I26" i="2"/>
  <c r="H26" i="2"/>
  <c r="F26" i="2"/>
  <c r="E26" i="2"/>
  <c r="D26" i="2"/>
  <c r="C26" i="2"/>
  <c r="B26" i="2"/>
  <c r="O25" i="2"/>
  <c r="N25" i="2"/>
  <c r="M25" i="2"/>
  <c r="L25" i="2"/>
  <c r="K25" i="2"/>
  <c r="J25" i="2"/>
  <c r="I25" i="2"/>
  <c r="H25" i="2"/>
  <c r="G25" i="2"/>
  <c r="F25" i="2"/>
  <c r="E25" i="2"/>
  <c r="D25" i="2"/>
  <c r="C25" i="2"/>
  <c r="B25" i="2"/>
  <c r="L24" i="2"/>
  <c r="K24" i="2"/>
  <c r="I24" i="2"/>
  <c r="H24" i="2"/>
  <c r="G24" i="2"/>
  <c r="F24" i="2"/>
  <c r="E24" i="2"/>
  <c r="D24" i="2"/>
  <c r="C24" i="2"/>
  <c r="B24" i="2"/>
  <c r="N23" i="2"/>
  <c r="M23" i="2"/>
  <c r="L23" i="2"/>
  <c r="K23" i="2"/>
  <c r="J23" i="2"/>
  <c r="I23" i="2"/>
  <c r="H23" i="2"/>
  <c r="G23" i="2"/>
  <c r="F23" i="2"/>
  <c r="E23" i="2"/>
  <c r="D23" i="2"/>
  <c r="C23" i="2"/>
  <c r="B23" i="2"/>
  <c r="M22" i="2"/>
  <c r="L22" i="2"/>
  <c r="K22" i="2"/>
  <c r="J22" i="2"/>
  <c r="I22" i="2"/>
  <c r="H22" i="2"/>
  <c r="G22" i="2"/>
  <c r="F22" i="2"/>
  <c r="E22" i="2"/>
  <c r="D22" i="2"/>
  <c r="C22" i="2"/>
  <c r="B22" i="2"/>
  <c r="L21" i="2"/>
  <c r="K21" i="2"/>
  <c r="I21" i="2"/>
  <c r="H21" i="2"/>
  <c r="F21" i="2"/>
  <c r="E21" i="2"/>
  <c r="D21" i="2"/>
  <c r="C21" i="2"/>
  <c r="B21" i="2"/>
  <c r="N20" i="2"/>
  <c r="M20" i="2"/>
  <c r="L20" i="2"/>
  <c r="K20" i="2"/>
  <c r="J20" i="2"/>
  <c r="I20" i="2"/>
  <c r="H20" i="2"/>
  <c r="G20" i="2"/>
  <c r="F20" i="2"/>
  <c r="E20" i="2"/>
  <c r="D20" i="2"/>
  <c r="C20" i="2"/>
  <c r="B20" i="2"/>
  <c r="L19" i="2"/>
  <c r="K19" i="2"/>
  <c r="J19" i="2"/>
  <c r="I19" i="2"/>
  <c r="H19" i="2"/>
  <c r="G19" i="2"/>
  <c r="F19" i="2"/>
  <c r="E19" i="2"/>
  <c r="D19" i="2"/>
  <c r="C19" i="2"/>
  <c r="B19" i="2"/>
  <c r="O18" i="2"/>
  <c r="N18" i="2"/>
  <c r="M18" i="2"/>
  <c r="L18" i="2"/>
  <c r="K18" i="2"/>
  <c r="J18" i="2"/>
  <c r="I18" i="2"/>
  <c r="H18" i="2"/>
  <c r="G18" i="2"/>
  <c r="F18" i="2"/>
  <c r="E18" i="2"/>
  <c r="D18" i="2"/>
  <c r="C18" i="2"/>
  <c r="B18" i="2"/>
  <c r="M17" i="2"/>
  <c r="L17" i="2"/>
  <c r="K17" i="2"/>
  <c r="I17" i="2"/>
  <c r="H17" i="2"/>
  <c r="G17" i="2"/>
  <c r="F17" i="2"/>
  <c r="E17" i="2"/>
  <c r="D17" i="2"/>
  <c r="C17" i="2"/>
  <c r="B17" i="2"/>
  <c r="L16" i="2"/>
  <c r="K16" i="2"/>
  <c r="I16" i="2"/>
  <c r="H16" i="2"/>
  <c r="G16" i="2"/>
  <c r="F16" i="2"/>
  <c r="E16" i="2"/>
  <c r="D16" i="2"/>
  <c r="C16" i="2"/>
  <c r="B16" i="2"/>
  <c r="AC4" i="8" l="1"/>
  <c r="G15" i="3"/>
  <c r="F15" i="3"/>
  <c r="E15" i="3"/>
  <c r="B6" i="3" s="1"/>
  <c r="H15" i="3"/>
  <c r="AC2" i="8"/>
  <c r="W5" i="8"/>
  <c r="AC5" i="8"/>
  <c r="AB5" i="8"/>
  <c r="AA5" i="8"/>
  <c r="AP5" i="8"/>
  <c r="AB7" i="8"/>
  <c r="L12" i="8"/>
  <c r="AB12" i="8"/>
  <c r="AA12" i="8"/>
  <c r="AC12" i="8"/>
  <c r="W15" i="8"/>
  <c r="N29" i="2" s="1"/>
  <c r="AM15" i="8"/>
  <c r="O29" i="2" s="1"/>
  <c r="W18" i="8"/>
  <c r="P21" i="8"/>
  <c r="J35" i="2" s="1"/>
  <c r="T27" i="8"/>
  <c r="P27" i="8"/>
  <c r="J41" i="2" s="1"/>
  <c r="L27" i="8"/>
  <c r="AC31" i="8"/>
  <c r="AB31" i="8"/>
  <c r="AP31" i="8"/>
  <c r="AA31" i="8"/>
  <c r="K103" i="9"/>
  <c r="K102" i="9"/>
  <c r="U36" i="8"/>
  <c r="V36" i="8" s="1"/>
  <c r="AL41" i="8"/>
  <c r="U48" i="8"/>
  <c r="V48" i="8" s="1"/>
  <c r="M62" i="2"/>
  <c r="K154" i="9"/>
  <c r="K153" i="9"/>
  <c r="AC3" i="8"/>
  <c r="AB3" i="8"/>
  <c r="AA3" i="8"/>
  <c r="AP3" i="8"/>
  <c r="U5" i="8"/>
  <c r="V5" i="8" s="1"/>
  <c r="K11" i="9"/>
  <c r="K12" i="9"/>
  <c r="AA7" i="8"/>
  <c r="T7" i="8"/>
  <c r="P7" i="8"/>
  <c r="J21" i="2" s="1"/>
  <c r="AM8" i="8"/>
  <c r="O22" i="2" s="1"/>
  <c r="AA16" i="8"/>
  <c r="AC16" i="8" s="1"/>
  <c r="P16" i="8"/>
  <c r="J30" i="2" s="1"/>
  <c r="L16" i="8"/>
  <c r="G30" i="2" s="1"/>
  <c r="AM17" i="8"/>
  <c r="O31" i="2" s="1"/>
  <c r="V21" i="8"/>
  <c r="U21" i="8"/>
  <c r="AL22" i="8"/>
  <c r="K82" i="9"/>
  <c r="K79" i="9"/>
  <c r="K80" i="9"/>
  <c r="K81" i="9"/>
  <c r="K91" i="9"/>
  <c r="K89" i="9"/>
  <c r="K90" i="9"/>
  <c r="K97" i="9"/>
  <c r="K99" i="9"/>
  <c r="K96" i="9"/>
  <c r="K98" i="9"/>
  <c r="AL34" i="8"/>
  <c r="K112" i="9"/>
  <c r="K109" i="9"/>
  <c r="K111" i="9"/>
  <c r="K110" i="9"/>
  <c r="K184" i="9"/>
  <c r="K185" i="9"/>
  <c r="K186" i="9"/>
  <c r="K183" i="9"/>
  <c r="K217" i="9"/>
  <c r="K218" i="9"/>
  <c r="K216" i="9"/>
  <c r="N17" i="2"/>
  <c r="U2" i="8"/>
  <c r="V2" i="8" s="1"/>
  <c r="U3" i="8"/>
  <c r="V3" i="8" s="1"/>
  <c r="K5" i="9"/>
  <c r="K6" i="9"/>
  <c r="K7" i="9"/>
  <c r="AB4" i="8"/>
  <c r="K8" i="9"/>
  <c r="K9" i="9"/>
  <c r="K10" i="9"/>
  <c r="AM6" i="8"/>
  <c r="O20" i="2" s="1"/>
  <c r="AL6" i="8"/>
  <c r="M24" i="2"/>
  <c r="V12" i="8"/>
  <c r="U12" i="8"/>
  <c r="AL13" i="8"/>
  <c r="AB18" i="8"/>
  <c r="V19" i="8"/>
  <c r="M33" i="2"/>
  <c r="AM20" i="8"/>
  <c r="O34" i="2" s="1"/>
  <c r="N34" i="2"/>
  <c r="AA20" i="8"/>
  <c r="AC20" i="8" s="1"/>
  <c r="AP20" i="8"/>
  <c r="AC30" i="8"/>
  <c r="AB30" i="8"/>
  <c r="G48" i="2"/>
  <c r="G95" i="2"/>
  <c r="M29" i="2"/>
  <c r="K2" i="9"/>
  <c r="K3" i="9"/>
  <c r="K4" i="9"/>
  <c r="AA6" i="8"/>
  <c r="K26" i="9"/>
  <c r="K23" i="9"/>
  <c r="K24" i="9"/>
  <c r="K25" i="9"/>
  <c r="U10" i="8"/>
  <c r="V10" i="8" s="1"/>
  <c r="AC11" i="8"/>
  <c r="AB11" i="8"/>
  <c r="AA11" i="8"/>
  <c r="AP11" i="8"/>
  <c r="AB13" i="8"/>
  <c r="AN16" i="8"/>
  <c r="K58" i="9"/>
  <c r="K57" i="9"/>
  <c r="K56" i="9"/>
  <c r="U19" i="8"/>
  <c r="V20" i="8"/>
  <c r="U20" i="8"/>
  <c r="K62" i="9"/>
  <c r="K63" i="9"/>
  <c r="AA22" i="8"/>
  <c r="AC22" i="8" s="1"/>
  <c r="T22" i="8"/>
  <c r="P22" i="8"/>
  <c r="J36" i="2" s="1"/>
  <c r="AM23" i="8"/>
  <c r="O37" i="2" s="1"/>
  <c r="AL27" i="8"/>
  <c r="AA32" i="8"/>
  <c r="AB32" i="8" s="1"/>
  <c r="P32" i="8"/>
  <c r="J46" i="2" s="1"/>
  <c r="L32" i="8"/>
  <c r="T32" i="8"/>
  <c r="C7" i="4" s="1"/>
  <c r="U41" i="8"/>
  <c r="V41" i="8" s="1"/>
  <c r="T43" i="8"/>
  <c r="P43" i="8"/>
  <c r="J57" i="2" s="1"/>
  <c r="L43" i="8"/>
  <c r="L46" i="8"/>
  <c r="G60" i="2" s="1"/>
  <c r="J17" i="2"/>
  <c r="N86" i="2"/>
  <c r="AP6" i="8"/>
  <c r="AB10" i="8"/>
  <c r="K29" i="9"/>
  <c r="K27" i="9"/>
  <c r="K28" i="9"/>
  <c r="U11" i="8"/>
  <c r="V11" i="8" s="1"/>
  <c r="K32" i="9"/>
  <c r="K33" i="9"/>
  <c r="K30" i="9"/>
  <c r="K31" i="9"/>
  <c r="AA13" i="8"/>
  <c r="AC13" i="8" s="1"/>
  <c r="T13" i="8"/>
  <c r="C16" i="4" s="1"/>
  <c r="P13" i="8"/>
  <c r="J27" i="2" s="1"/>
  <c r="AM14" i="8"/>
  <c r="O28" i="2" s="1"/>
  <c r="AB19" i="8"/>
  <c r="K61" i="9"/>
  <c r="K60" i="9"/>
  <c r="K59" i="9"/>
  <c r="AL21" i="8"/>
  <c r="AC25" i="8"/>
  <c r="AB25" i="8"/>
  <c r="AA27" i="8"/>
  <c r="AB27" i="8" s="1"/>
  <c r="AP27" i="8"/>
  <c r="N43" i="2"/>
  <c r="AM29" i="8"/>
  <c r="O43" i="2" s="1"/>
  <c r="U39" i="8"/>
  <c r="M53" i="2"/>
  <c r="V39" i="8"/>
  <c r="K145" i="9"/>
  <c r="K146" i="9"/>
  <c r="AL50" i="8"/>
  <c r="K172" i="9"/>
  <c r="K173" i="9"/>
  <c r="K171" i="9"/>
  <c r="M16" i="2"/>
  <c r="M19" i="2"/>
  <c r="G64" i="2"/>
  <c r="G18" i="3"/>
  <c r="F18" i="3"/>
  <c r="E18" i="3"/>
  <c r="H18" i="3"/>
  <c r="C6" i="4"/>
  <c r="V6" i="8"/>
  <c r="U6" i="8"/>
  <c r="L7" i="8"/>
  <c r="AL7" i="8"/>
  <c r="F13" i="10" s="1"/>
  <c r="D13" i="11" s="1"/>
  <c r="F13" i="11" s="1"/>
  <c r="AL12" i="8"/>
  <c r="AM16" i="8"/>
  <c r="O30" i="2" s="1"/>
  <c r="AL16" i="8"/>
  <c r="L21" i="8"/>
  <c r="AA21" i="8"/>
  <c r="AB21" i="8" s="1"/>
  <c r="AC21" i="8"/>
  <c r="K76" i="9"/>
  <c r="K75" i="9"/>
  <c r="K78" i="9"/>
  <c r="K77" i="9"/>
  <c r="K74" i="9"/>
  <c r="V25" i="8"/>
  <c r="M39" i="2"/>
  <c r="V26" i="8"/>
  <c r="W28" i="8"/>
  <c r="N42" i="2" s="1"/>
  <c r="G42" i="2"/>
  <c r="AL37" i="8"/>
  <c r="AM37" i="8"/>
  <c r="O51" i="2" s="1"/>
  <c r="AO37" i="8"/>
  <c r="K121" i="9"/>
  <c r="K120" i="9"/>
  <c r="K119" i="9"/>
  <c r="AA40" i="8"/>
  <c r="AC45" i="8"/>
  <c r="AB45" i="8"/>
  <c r="F14" i="3"/>
  <c r="F21" i="3" s="1"/>
  <c r="F17" i="3"/>
  <c r="F20" i="3"/>
  <c r="P2" i="8"/>
  <c r="J16" i="2" s="1"/>
  <c r="AP135" i="8"/>
  <c r="AP131" i="8"/>
  <c r="AP71" i="8"/>
  <c r="AA8" i="8"/>
  <c r="P10" i="8"/>
  <c r="J24" i="2" s="1"/>
  <c r="AA14" i="8"/>
  <c r="AA15" i="8"/>
  <c r="AA17" i="8"/>
  <c r="P19" i="8"/>
  <c r="J33" i="2" s="1"/>
  <c r="AA23" i="8"/>
  <c r="AA28" i="8"/>
  <c r="V31" i="8"/>
  <c r="AL43" i="8"/>
  <c r="K142" i="9"/>
  <c r="K143" i="9"/>
  <c r="K140" i="9"/>
  <c r="K144" i="9"/>
  <c r="K141" i="9"/>
  <c r="K148" i="9"/>
  <c r="K147" i="9"/>
  <c r="AC49" i="8"/>
  <c r="AB49" i="8"/>
  <c r="AA49" i="8"/>
  <c r="J20" i="3" s="1"/>
  <c r="AP49" i="8"/>
  <c r="AB51" i="8"/>
  <c r="AC53" i="8"/>
  <c r="T58" i="8"/>
  <c r="C23" i="4" s="1"/>
  <c r="P58" i="8"/>
  <c r="J72" i="2" s="1"/>
  <c r="L58" i="8"/>
  <c r="AN65" i="8"/>
  <c r="K244" i="9"/>
  <c r="K245" i="9"/>
  <c r="G13" i="3"/>
  <c r="G21" i="3" s="1"/>
  <c r="G16" i="3"/>
  <c r="G19" i="3"/>
  <c r="B24" i="10"/>
  <c r="AN177" i="8"/>
  <c r="AN116" i="8"/>
  <c r="AN99" i="8"/>
  <c r="AN150" i="8"/>
  <c r="AN2" i="8"/>
  <c r="AC9" i="8"/>
  <c r="AC18" i="8"/>
  <c r="AC24" i="8"/>
  <c r="W30" i="8"/>
  <c r="L41" i="8"/>
  <c r="AA42" i="8"/>
  <c r="AC42" i="8" s="1"/>
  <c r="AP42" i="8"/>
  <c r="K151" i="9"/>
  <c r="K152" i="9"/>
  <c r="K149" i="9"/>
  <c r="K150" i="9"/>
  <c r="AB48" i="8"/>
  <c r="AN55" i="8"/>
  <c r="H13" i="3"/>
  <c r="H16" i="3"/>
  <c r="H19" i="3"/>
  <c r="AO2" i="8"/>
  <c r="AC26" i="8"/>
  <c r="V28" i="8"/>
  <c r="K94" i="9"/>
  <c r="K93" i="9"/>
  <c r="K95" i="9"/>
  <c r="K92" i="9"/>
  <c r="T34" i="8"/>
  <c r="P34" i="8"/>
  <c r="J48" i="2" s="1"/>
  <c r="K115" i="9"/>
  <c r="K114" i="9"/>
  <c r="K113" i="9"/>
  <c r="K124" i="9"/>
  <c r="K123" i="9"/>
  <c r="K122" i="9"/>
  <c r="AC47" i="8"/>
  <c r="AA50" i="8"/>
  <c r="AC50" i="8" s="1"/>
  <c r="T50" i="8"/>
  <c r="P50" i="8"/>
  <c r="J64" i="2" s="1"/>
  <c r="U54" i="8"/>
  <c r="V54" i="8" s="1"/>
  <c r="K169" i="9"/>
  <c r="K170" i="9"/>
  <c r="AP58" i="8"/>
  <c r="AA58" i="8"/>
  <c r="AB58" i="8" s="1"/>
  <c r="V63" i="8"/>
  <c r="U63" i="8"/>
  <c r="R13" i="10"/>
  <c r="Q11" i="10"/>
  <c r="P10" i="10"/>
  <c r="Q9" i="10"/>
  <c r="P12" i="10"/>
  <c r="F24" i="10"/>
  <c r="AO176" i="8"/>
  <c r="AO108" i="8"/>
  <c r="AO46" i="8"/>
  <c r="K20" i="9"/>
  <c r="K21" i="9"/>
  <c r="K22" i="9"/>
  <c r="K44" i="9"/>
  <c r="K41" i="9"/>
  <c r="K42" i="9"/>
  <c r="K43" i="9"/>
  <c r="K49" i="9"/>
  <c r="K46" i="9"/>
  <c r="K47" i="9"/>
  <c r="K45" i="9"/>
  <c r="K48" i="9"/>
  <c r="K55" i="9"/>
  <c r="K53" i="9"/>
  <c r="K54" i="9"/>
  <c r="K73" i="9"/>
  <c r="K71" i="9"/>
  <c r="K72" i="9"/>
  <c r="W26" i="8"/>
  <c r="N40" i="2" s="1"/>
  <c r="K83" i="9"/>
  <c r="K84" i="9"/>
  <c r="AM28" i="8"/>
  <c r="O42" i="2" s="1"/>
  <c r="AP29" i="8"/>
  <c r="J30" i="10" s="1"/>
  <c r="AC32" i="8"/>
  <c r="AA33" i="8"/>
  <c r="AC33" i="8" s="1"/>
  <c r="AP33" i="8"/>
  <c r="AB33" i="8"/>
  <c r="AC40" i="8"/>
  <c r="AB40" i="8"/>
  <c r="AP40" i="8"/>
  <c r="AB41" i="8"/>
  <c r="AA41" i="8"/>
  <c r="AC41" i="8" s="1"/>
  <c r="P41" i="8"/>
  <c r="J55" i="2" s="1"/>
  <c r="K167" i="9"/>
  <c r="K168" i="9"/>
  <c r="AB54" i="8"/>
  <c r="K175" i="9"/>
  <c r="K176" i="9"/>
  <c r="K174" i="9"/>
  <c r="AC60" i="8"/>
  <c r="AB60" i="8"/>
  <c r="P30" i="8"/>
  <c r="J44" i="2" s="1"/>
  <c r="V33" i="8"/>
  <c r="AA34" i="8"/>
  <c r="AB34" i="8" s="1"/>
  <c r="T35" i="8"/>
  <c r="P36" i="8"/>
  <c r="AA37" i="8"/>
  <c r="AB37" i="8" s="1"/>
  <c r="T38" i="8"/>
  <c r="P39" i="8"/>
  <c r="V42" i="8"/>
  <c r="AA43" i="8"/>
  <c r="AC43" i="8" s="1"/>
  <c r="T44" i="8"/>
  <c r="P45" i="8"/>
  <c r="AA46" i="8"/>
  <c r="AC46" i="8" s="1"/>
  <c r="AM46" i="8"/>
  <c r="O60" i="2" s="1"/>
  <c r="T47" i="8"/>
  <c r="P48" i="8"/>
  <c r="V51" i="8"/>
  <c r="AA52" i="8"/>
  <c r="AB52" i="8" s="1"/>
  <c r="T53" i="8"/>
  <c r="P54" i="8"/>
  <c r="AA55" i="8"/>
  <c r="AB55" i="8" s="1"/>
  <c r="AM55" i="8"/>
  <c r="O69" i="2" s="1"/>
  <c r="T56" i="8"/>
  <c r="C21" i="4" s="1"/>
  <c r="T57" i="8"/>
  <c r="AB61" i="8"/>
  <c r="AA62" i="8"/>
  <c r="AP64" i="8"/>
  <c r="AB64" i="8"/>
  <c r="AB65" i="8"/>
  <c r="AP66" i="8"/>
  <c r="T67" i="8"/>
  <c r="AB71" i="8"/>
  <c r="AP72" i="8"/>
  <c r="AB72" i="8"/>
  <c r="AM73" i="8"/>
  <c r="O87" i="2" s="1"/>
  <c r="AL73" i="8"/>
  <c r="AM77" i="8"/>
  <c r="O91" i="2" s="1"/>
  <c r="T87" i="8"/>
  <c r="P87" i="8"/>
  <c r="J101" i="2" s="1"/>
  <c r="AM88" i="8"/>
  <c r="O102" i="2" s="1"/>
  <c r="AL88" i="8"/>
  <c r="AO88" i="8"/>
  <c r="K306" i="9"/>
  <c r="K304" i="9"/>
  <c r="K305" i="9"/>
  <c r="U103" i="8"/>
  <c r="V103" i="8" s="1"/>
  <c r="W114" i="8"/>
  <c r="AN138" i="8"/>
  <c r="AB149" i="8"/>
  <c r="AC149" i="8"/>
  <c r="AA149" i="8"/>
  <c r="AP149" i="8"/>
  <c r="K572" i="9"/>
  <c r="K573" i="9"/>
  <c r="P180" i="8"/>
  <c r="J194" i="2" s="1"/>
  <c r="L180" i="8"/>
  <c r="G194" i="2" s="1"/>
  <c r="AA180" i="8"/>
  <c r="AB180" i="8" s="1"/>
  <c r="K202" i="9"/>
  <c r="K203" i="9"/>
  <c r="K200" i="9"/>
  <c r="K201" i="9"/>
  <c r="K208" i="9"/>
  <c r="K209" i="9"/>
  <c r="AC67" i="8"/>
  <c r="AA67" i="8"/>
  <c r="K229" i="9"/>
  <c r="K227" i="9"/>
  <c r="K228" i="9"/>
  <c r="AC73" i="8"/>
  <c r="AA73" i="8"/>
  <c r="V74" i="8"/>
  <c r="T80" i="8"/>
  <c r="L80" i="8"/>
  <c r="K253" i="9"/>
  <c r="K254" i="9"/>
  <c r="K255" i="9"/>
  <c r="AA82" i="8"/>
  <c r="AC82" i="8" s="1"/>
  <c r="P82" i="8"/>
  <c r="J96" i="2" s="1"/>
  <c r="L82" i="8"/>
  <c r="AC88" i="8"/>
  <c r="AA88" i="8"/>
  <c r="AP88" i="8"/>
  <c r="AB88" i="8"/>
  <c r="V93" i="8"/>
  <c r="U93" i="8"/>
  <c r="W93" i="8"/>
  <c r="AP93" i="8"/>
  <c r="AM99" i="8"/>
  <c r="O113" i="2" s="1"/>
  <c r="AL99" i="8"/>
  <c r="AA105" i="8"/>
  <c r="AC105" i="8" s="1"/>
  <c r="P105" i="8"/>
  <c r="J119" i="2" s="1"/>
  <c r="AB105" i="8"/>
  <c r="T105" i="8"/>
  <c r="L105" i="8"/>
  <c r="K357" i="9"/>
  <c r="K354" i="9"/>
  <c r="K355" i="9"/>
  <c r="K356" i="9"/>
  <c r="AN133" i="8"/>
  <c r="K100" i="9"/>
  <c r="K101" i="9"/>
  <c r="K127" i="9"/>
  <c r="K128" i="9"/>
  <c r="K125" i="9"/>
  <c r="K129" i="9"/>
  <c r="K126" i="9"/>
  <c r="AB47" i="8"/>
  <c r="K155" i="9"/>
  <c r="K156" i="9"/>
  <c r="AC52" i="8"/>
  <c r="AB53" i="8"/>
  <c r="AC55" i="8"/>
  <c r="AB56" i="8"/>
  <c r="K181" i="9"/>
  <c r="K182" i="9"/>
  <c r="K180" i="9"/>
  <c r="AC65" i="8"/>
  <c r="K211" i="9"/>
  <c r="K212" i="9"/>
  <c r="K210" i="9"/>
  <c r="K214" i="9"/>
  <c r="K215" i="9"/>
  <c r="K213" i="9"/>
  <c r="AA75" i="8"/>
  <c r="AC75" i="8" s="1"/>
  <c r="P75" i="8"/>
  <c r="J89" i="2" s="1"/>
  <c r="AB75" i="8"/>
  <c r="T75" i="8"/>
  <c r="K238" i="9"/>
  <c r="K239" i="9"/>
  <c r="AL81" i="8"/>
  <c r="U84" i="8"/>
  <c r="V84" i="8"/>
  <c r="V85" i="8"/>
  <c r="U85" i="8"/>
  <c r="T86" i="8"/>
  <c r="L86" i="8"/>
  <c r="K274" i="9"/>
  <c r="K273" i="9"/>
  <c r="K297" i="9"/>
  <c r="K294" i="9"/>
  <c r="K296" i="9"/>
  <c r="K295" i="9"/>
  <c r="K318" i="9"/>
  <c r="K319" i="9"/>
  <c r="K317" i="9"/>
  <c r="AP102" i="8"/>
  <c r="AB102" i="8"/>
  <c r="AA102" i="8"/>
  <c r="AC102" i="8"/>
  <c r="K426" i="9"/>
  <c r="K425" i="9"/>
  <c r="K427" i="9"/>
  <c r="P51" i="8"/>
  <c r="AC57" i="8"/>
  <c r="V59" i="8"/>
  <c r="K187" i="9"/>
  <c r="K188" i="9"/>
  <c r="K189" i="9"/>
  <c r="L61" i="8"/>
  <c r="L63" i="8"/>
  <c r="AL63" i="8"/>
  <c r="V64" i="8"/>
  <c r="AA64" i="8"/>
  <c r="AL65" i="8"/>
  <c r="V66" i="8"/>
  <c r="AA66" i="8"/>
  <c r="AC66" i="8" s="1"/>
  <c r="V68" i="8"/>
  <c r="AB68" i="8"/>
  <c r="V69" i="8"/>
  <c r="AC70" i="8"/>
  <c r="AL71" i="8"/>
  <c r="V72" i="8"/>
  <c r="AA72" i="8"/>
  <c r="AC72" i="8" s="1"/>
  <c r="AP73" i="8"/>
  <c r="K247" i="9"/>
  <c r="K248" i="9"/>
  <c r="K246" i="9"/>
  <c r="K250" i="9"/>
  <c r="K251" i="9"/>
  <c r="K252" i="9"/>
  <c r="K249" i="9"/>
  <c r="AB81" i="8"/>
  <c r="AP81" i="8"/>
  <c r="AA81" i="8"/>
  <c r="AC81" i="8" s="1"/>
  <c r="P84" i="8"/>
  <c r="J98" i="2" s="1"/>
  <c r="AB84" i="8"/>
  <c r="L84" i="8"/>
  <c r="K268" i="9"/>
  <c r="K265" i="9"/>
  <c r="K269" i="9"/>
  <c r="K266" i="9"/>
  <c r="K267" i="9"/>
  <c r="AL87" i="8"/>
  <c r="AL92" i="8"/>
  <c r="AL97" i="8"/>
  <c r="AP98" i="8"/>
  <c r="AA98" i="8"/>
  <c r="AC98" i="8" s="1"/>
  <c r="V101" i="8"/>
  <c r="U101" i="8"/>
  <c r="AL107" i="8"/>
  <c r="K351" i="9"/>
  <c r="K352" i="9"/>
  <c r="K353" i="9"/>
  <c r="K390" i="9"/>
  <c r="K387" i="9"/>
  <c r="K389" i="9"/>
  <c r="K388" i="9"/>
  <c r="V144" i="8"/>
  <c r="U144" i="8"/>
  <c r="AP145" i="8"/>
  <c r="AA145" i="8"/>
  <c r="AB145" i="8" s="1"/>
  <c r="U153" i="8"/>
  <c r="V153" i="8" s="1"/>
  <c r="W153" i="8"/>
  <c r="L162" i="8"/>
  <c r="P162" i="8"/>
  <c r="J176" i="2" s="1"/>
  <c r="T162" i="8"/>
  <c r="K106" i="9"/>
  <c r="K105" i="9"/>
  <c r="K104" i="9"/>
  <c r="K136" i="9"/>
  <c r="K133" i="9"/>
  <c r="K134" i="9"/>
  <c r="K135" i="9"/>
  <c r="K163" i="9"/>
  <c r="K161" i="9"/>
  <c r="K162" i="9"/>
  <c r="W57" i="8"/>
  <c r="N71" i="2" s="1"/>
  <c r="AL57" i="8"/>
  <c r="AM59" i="8"/>
  <c r="O73" i="2" s="1"/>
  <c r="T61" i="8"/>
  <c r="AL61" i="8"/>
  <c r="P63" i="8"/>
  <c r="J77" i="2" s="1"/>
  <c r="L65" i="8"/>
  <c r="G79" i="2" s="1"/>
  <c r="L67" i="8"/>
  <c r="AP67" i="8"/>
  <c r="AM68" i="8"/>
  <c r="O82" i="2" s="1"/>
  <c r="L71" i="8"/>
  <c r="L74" i="8"/>
  <c r="AA74" i="8"/>
  <c r="AB74" i="8" s="1"/>
  <c r="AP74" i="8"/>
  <c r="AP76" i="8"/>
  <c r="AB76" i="8"/>
  <c r="AB82" i="8"/>
  <c r="AP83" i="8"/>
  <c r="AA83" i="8"/>
  <c r="AP87" i="8"/>
  <c r="AA87" i="8"/>
  <c r="AB87" i="8" s="1"/>
  <c r="AC87" i="8"/>
  <c r="K286" i="9"/>
  <c r="K287" i="9"/>
  <c r="K285" i="9"/>
  <c r="AM94" i="8"/>
  <c r="O108" i="2" s="1"/>
  <c r="AL94" i="8"/>
  <c r="AC107" i="8"/>
  <c r="AP107" i="8"/>
  <c r="AB107" i="8"/>
  <c r="AA107" i="8"/>
  <c r="AA154" i="8"/>
  <c r="AC154" i="8" s="1"/>
  <c r="AP154" i="8"/>
  <c r="AC159" i="8"/>
  <c r="AB159" i="8"/>
  <c r="AL168" i="8"/>
  <c r="AM168" i="8"/>
  <c r="O182" i="2" s="1"/>
  <c r="AO168" i="8"/>
  <c r="AN170" i="8"/>
  <c r="K166" i="9"/>
  <c r="K164" i="9"/>
  <c r="K165" i="9"/>
  <c r="AA59" i="8"/>
  <c r="P60" i="8"/>
  <c r="AA61" i="8"/>
  <c r="AC61" i="8" s="1"/>
  <c r="K196" i="9"/>
  <c r="K193" i="9"/>
  <c r="K194" i="9"/>
  <c r="K195" i="9"/>
  <c r="AA63" i="8"/>
  <c r="AB63" i="8" s="1"/>
  <c r="P65" i="8"/>
  <c r="J79" i="2" s="1"/>
  <c r="AB67" i="8"/>
  <c r="AA69" i="8"/>
  <c r="P69" i="8"/>
  <c r="J83" i="2" s="1"/>
  <c r="T71" i="8"/>
  <c r="AB73" i="8"/>
  <c r="P74" i="8"/>
  <c r="J88" i="2" s="1"/>
  <c r="L75" i="8"/>
  <c r="V78" i="8"/>
  <c r="T81" i="8"/>
  <c r="P81" i="8"/>
  <c r="J95" i="2" s="1"/>
  <c r="T82" i="8"/>
  <c r="T89" i="8"/>
  <c r="L89" i="8"/>
  <c r="AB89" i="8"/>
  <c r="AA93" i="8"/>
  <c r="AB93" i="8" s="1"/>
  <c r="AA94" i="8"/>
  <c r="AC94" i="8" s="1"/>
  <c r="AP94" i="8"/>
  <c r="AB94" i="8"/>
  <c r="T97" i="8"/>
  <c r="L97" i="8"/>
  <c r="P97" i="8"/>
  <c r="J111" i="2" s="1"/>
  <c r="AP100" i="8"/>
  <c r="AB100" i="8"/>
  <c r="AA100" i="8"/>
  <c r="AC100" i="8" s="1"/>
  <c r="AM103" i="8"/>
  <c r="O117" i="2" s="1"/>
  <c r="AL103" i="8"/>
  <c r="V107" i="8"/>
  <c r="AN110" i="8"/>
  <c r="AN117" i="8"/>
  <c r="AL131" i="8"/>
  <c r="AB168" i="8"/>
  <c r="AA80" i="8"/>
  <c r="AB80" i="8" s="1"/>
  <c r="K271" i="9"/>
  <c r="K272" i="9"/>
  <c r="K270" i="9"/>
  <c r="AA86" i="8"/>
  <c r="AB86" i="8" s="1"/>
  <c r="AA90" i="8"/>
  <c r="AC90" i="8" s="1"/>
  <c r="P90" i="8"/>
  <c r="J104" i="2" s="1"/>
  <c r="L95" i="8"/>
  <c r="AA96" i="8"/>
  <c r="AC96" i="8" s="1"/>
  <c r="P96" i="8"/>
  <c r="J110" i="2" s="1"/>
  <c r="AM101" i="8"/>
  <c r="O115" i="2" s="1"/>
  <c r="AM104" i="8"/>
  <c r="O118" i="2" s="1"/>
  <c r="K336" i="9"/>
  <c r="K333" i="9"/>
  <c r="K334" i="9"/>
  <c r="K335" i="9"/>
  <c r="W107" i="8"/>
  <c r="N121" i="2" s="1"/>
  <c r="K348" i="9"/>
  <c r="K349" i="9"/>
  <c r="K350" i="9"/>
  <c r="AP110" i="8"/>
  <c r="AA110" i="8"/>
  <c r="AB110" i="8" s="1"/>
  <c r="V112" i="8"/>
  <c r="AP118" i="8"/>
  <c r="W124" i="8"/>
  <c r="N138" i="2" s="1"/>
  <c r="W130" i="8"/>
  <c r="N144" i="2" s="1"/>
  <c r="AP133" i="8"/>
  <c r="V135" i="8"/>
  <c r="U145" i="8"/>
  <c r="V145" i="8" s="1"/>
  <c r="AC146" i="8"/>
  <c r="AA146" i="8"/>
  <c r="P150" i="8"/>
  <c r="J164" i="2" s="1"/>
  <c r="L150" i="8"/>
  <c r="G164" i="2" s="1"/>
  <c r="T156" i="8"/>
  <c r="L156" i="8"/>
  <c r="P156" i="8"/>
  <c r="J170" i="2" s="1"/>
  <c r="V158" i="8"/>
  <c r="L160" i="8"/>
  <c r="G174" i="2" s="1"/>
  <c r="P160" i="8"/>
  <c r="J174" i="2" s="1"/>
  <c r="K532" i="9"/>
  <c r="K533" i="9"/>
  <c r="K534" i="9"/>
  <c r="K531" i="9"/>
  <c r="W165" i="8"/>
  <c r="W174" i="8"/>
  <c r="AM180" i="8"/>
  <c r="O194" i="2" s="1"/>
  <c r="T169" i="8"/>
  <c r="P169" i="8"/>
  <c r="J183" i="2" s="1"/>
  <c r="AA169" i="8"/>
  <c r="AM112" i="8"/>
  <c r="O126" i="2" s="1"/>
  <c r="T113" i="8"/>
  <c r="K366" i="9"/>
  <c r="K367" i="9"/>
  <c r="K364" i="9"/>
  <c r="K365" i="9"/>
  <c r="AL116" i="8"/>
  <c r="AM116" i="8"/>
  <c r="O130" i="2" s="1"/>
  <c r="T119" i="8"/>
  <c r="K399" i="9"/>
  <c r="K398" i="9"/>
  <c r="K397" i="9"/>
  <c r="K400" i="9"/>
  <c r="T125" i="8"/>
  <c r="L125" i="8"/>
  <c r="V127" i="8"/>
  <c r="AC127" i="8"/>
  <c r="U130" i="8"/>
  <c r="V130" i="8" s="1"/>
  <c r="AC131" i="8"/>
  <c r="AA131" i="8"/>
  <c r="AL134" i="8"/>
  <c r="AM134" i="8"/>
  <c r="O148" i="2" s="1"/>
  <c r="AL135" i="8"/>
  <c r="AM135" i="8"/>
  <c r="O149" i="2" s="1"/>
  <c r="K445" i="9"/>
  <c r="K446" i="9"/>
  <c r="K447" i="9"/>
  <c r="AP139" i="8"/>
  <c r="AC139" i="8"/>
  <c r="AA139" i="8"/>
  <c r="AB139" i="8" s="1"/>
  <c r="U140" i="8"/>
  <c r="V140" i="8"/>
  <c r="AL140" i="8"/>
  <c r="U142" i="8"/>
  <c r="V142" i="8" s="1"/>
  <c r="AM142" i="8"/>
  <c r="O156" i="2" s="1"/>
  <c r="AL142" i="8"/>
  <c r="AL148" i="8"/>
  <c r="AP153" i="8"/>
  <c r="AC161" i="8"/>
  <c r="U165" i="8"/>
  <c r="V165" i="8" s="1"/>
  <c r="AC168" i="8"/>
  <c r="AP168" i="8"/>
  <c r="AA168" i="8"/>
  <c r="K556" i="9"/>
  <c r="K554" i="9"/>
  <c r="K555" i="9"/>
  <c r="K562" i="9"/>
  <c r="K563" i="9"/>
  <c r="U173" i="8"/>
  <c r="W173" i="8"/>
  <c r="AP173" i="8"/>
  <c r="AB173" i="8"/>
  <c r="AA173" i="8"/>
  <c r="AC173" i="8" s="1"/>
  <c r="V174" i="8"/>
  <c r="U174" i="8"/>
  <c r="AM178" i="8"/>
  <c r="O192" i="2" s="1"/>
  <c r="AL178" i="8"/>
  <c r="AL179" i="8"/>
  <c r="AM179" i="8"/>
  <c r="O193" i="2" s="1"/>
  <c r="AN180" i="8"/>
  <c r="AP78" i="8"/>
  <c r="AB78" i="8"/>
  <c r="AP80" i="8"/>
  <c r="AP86" i="8"/>
  <c r="K283" i="9"/>
  <c r="K284" i="9"/>
  <c r="T90" i="8"/>
  <c r="AB90" i="8"/>
  <c r="AB91" i="8"/>
  <c r="AC92" i="8"/>
  <c r="K303" i="9"/>
  <c r="K301" i="9"/>
  <c r="K302" i="9"/>
  <c r="T96" i="8"/>
  <c r="AB96" i="8"/>
  <c r="K321" i="9"/>
  <c r="K322" i="9"/>
  <c r="K323" i="9"/>
  <c r="K320" i="9"/>
  <c r="AA103" i="8"/>
  <c r="AB103" i="8" s="1"/>
  <c r="K339" i="9"/>
  <c r="K340" i="9"/>
  <c r="K337" i="9"/>
  <c r="K338" i="9"/>
  <c r="AA113" i="8"/>
  <c r="AB113" i="8" s="1"/>
  <c r="AP113" i="8"/>
  <c r="AB116" i="8"/>
  <c r="AA117" i="8"/>
  <c r="AL118" i="8"/>
  <c r="K381" i="9"/>
  <c r="K380" i="9"/>
  <c r="K379" i="9"/>
  <c r="K382" i="9"/>
  <c r="AP120" i="8"/>
  <c r="AA120" i="8"/>
  <c r="AB120" i="8" s="1"/>
  <c r="L123" i="8"/>
  <c r="K414" i="9"/>
  <c r="K413" i="9"/>
  <c r="K417" i="9"/>
  <c r="K416" i="9"/>
  <c r="K415" i="9"/>
  <c r="K418" i="9"/>
  <c r="AA130" i="8"/>
  <c r="AP134" i="8"/>
  <c r="AC134" i="8"/>
  <c r="AA134" i="8"/>
  <c r="AB134" i="8" s="1"/>
  <c r="AP136" i="8"/>
  <c r="AA136" i="8"/>
  <c r="AB136" i="8" s="1"/>
  <c r="AC136" i="8"/>
  <c r="V137" i="8"/>
  <c r="AM141" i="8"/>
  <c r="O155" i="2" s="1"/>
  <c r="AL141" i="8"/>
  <c r="AA142" i="8"/>
  <c r="AP142" i="8"/>
  <c r="AC142" i="8"/>
  <c r="P144" i="8"/>
  <c r="J158" i="2" s="1"/>
  <c r="L144" i="8"/>
  <c r="K469" i="9"/>
  <c r="K470" i="9"/>
  <c r="K471" i="9"/>
  <c r="K468" i="9"/>
  <c r="AB151" i="8"/>
  <c r="AP151" i="8"/>
  <c r="AA151" i="8"/>
  <c r="AC151" i="8" s="1"/>
  <c r="AA155" i="8"/>
  <c r="AC155" i="8" s="1"/>
  <c r="AL156" i="8"/>
  <c r="U161" i="8"/>
  <c r="V161" i="8" s="1"/>
  <c r="K529" i="9"/>
  <c r="K526" i="9"/>
  <c r="K530" i="9"/>
  <c r="K527" i="9"/>
  <c r="K528" i="9"/>
  <c r="AC163" i="8"/>
  <c r="L166" i="8"/>
  <c r="G180" i="2" s="1"/>
  <c r="P166" i="8"/>
  <c r="J180" i="2" s="1"/>
  <c r="T171" i="8"/>
  <c r="L171" i="8"/>
  <c r="V173" i="8"/>
  <c r="AP176" i="8"/>
  <c r="AA176" i="8"/>
  <c r="AC176" i="8" s="1"/>
  <c r="AB176" i="8"/>
  <c r="L177" i="8"/>
  <c r="G191" i="2" s="1"/>
  <c r="AA177" i="8"/>
  <c r="AA178" i="8"/>
  <c r="AB178" i="8" s="1"/>
  <c r="AC178" i="8"/>
  <c r="AB179" i="8"/>
  <c r="AP179" i="8"/>
  <c r="AC179" i="8"/>
  <c r="K592" i="9"/>
  <c r="K589" i="9"/>
  <c r="K590" i="9"/>
  <c r="K591" i="9"/>
  <c r="L145" i="8"/>
  <c r="P145" i="8"/>
  <c r="J159" i="2" s="1"/>
  <c r="V95" i="8"/>
  <c r="AB95" i="8"/>
  <c r="K330" i="9"/>
  <c r="K331" i="9"/>
  <c r="K328" i="9"/>
  <c r="K332" i="9"/>
  <c r="K329" i="9"/>
  <c r="K345" i="9"/>
  <c r="K346" i="9"/>
  <c r="K347" i="9"/>
  <c r="K360" i="9"/>
  <c r="K358" i="9"/>
  <c r="K359" i="9"/>
  <c r="K363" i="9"/>
  <c r="K361" i="9"/>
  <c r="K362" i="9"/>
  <c r="AB118" i="8"/>
  <c r="K384" i="9"/>
  <c r="K386" i="9"/>
  <c r="K383" i="9"/>
  <c r="K385" i="9"/>
  <c r="AB121" i="8"/>
  <c r="K396" i="9"/>
  <c r="K395" i="9"/>
  <c r="K394" i="9"/>
  <c r="AL125" i="8"/>
  <c r="K408" i="9"/>
  <c r="K407" i="9"/>
  <c r="K406" i="9"/>
  <c r="AC128" i="8"/>
  <c r="AB128" i="8"/>
  <c r="AB129" i="8"/>
  <c r="AA129" i="8"/>
  <c r="AP129" i="8"/>
  <c r="T131" i="8"/>
  <c r="L131" i="8"/>
  <c r="P131" i="8"/>
  <c r="J145" i="2" s="1"/>
  <c r="AA133" i="8"/>
  <c r="AB133" i="8" s="1"/>
  <c r="AC133" i="8"/>
  <c r="K442" i="9"/>
  <c r="K443" i="9"/>
  <c r="K444" i="9"/>
  <c r="K441" i="9"/>
  <c r="AM150" i="8"/>
  <c r="O164" i="2" s="1"/>
  <c r="AL150" i="8"/>
  <c r="AC164" i="8"/>
  <c r="AA164" i="8"/>
  <c r="AB164" i="8" s="1"/>
  <c r="AP164" i="8"/>
  <c r="W169" i="8"/>
  <c r="AM172" i="8"/>
  <c r="O186" i="2" s="1"/>
  <c r="AL172" i="8"/>
  <c r="AO172" i="8"/>
  <c r="K577" i="9"/>
  <c r="K574" i="9"/>
  <c r="K575" i="9"/>
  <c r="K576" i="9"/>
  <c r="K586" i="9"/>
  <c r="K587" i="9"/>
  <c r="K588" i="9"/>
  <c r="K585" i="9"/>
  <c r="AA97" i="8"/>
  <c r="AC97" i="8" s="1"/>
  <c r="AA99" i="8"/>
  <c r="AC101" i="8"/>
  <c r="AP106" i="8"/>
  <c r="AA106" i="8"/>
  <c r="AC109" i="8"/>
  <c r="AC111" i="8"/>
  <c r="AP111" i="8"/>
  <c r="AB111" i="8"/>
  <c r="AP114" i="8"/>
  <c r="AC114" i="8"/>
  <c r="AP119" i="8"/>
  <c r="AA119" i="8"/>
  <c r="AB119" i="8" s="1"/>
  <c r="AB123" i="8"/>
  <c r="AA123" i="8"/>
  <c r="AC123" i="8" s="1"/>
  <c r="AA124" i="8"/>
  <c r="AB124" i="8" s="1"/>
  <c r="AP124" i="8"/>
  <c r="AC124" i="8"/>
  <c r="K235" i="9"/>
  <c r="K236" i="9"/>
  <c r="K237" i="9"/>
  <c r="K234" i="9"/>
  <c r="AC77" i="8"/>
  <c r="AP79" i="8"/>
  <c r="AB79" i="8"/>
  <c r="AL82" i="8"/>
  <c r="AP85" i="8"/>
  <c r="AB85" i="8"/>
  <c r="L92" i="8"/>
  <c r="V102" i="8"/>
  <c r="V104" i="8"/>
  <c r="AB104" i="8"/>
  <c r="AM109" i="8"/>
  <c r="O123" i="2" s="1"/>
  <c r="AP116" i="8"/>
  <c r="T118" i="8"/>
  <c r="L118" i="8"/>
  <c r="K393" i="9"/>
  <c r="K392" i="9"/>
  <c r="K391" i="9"/>
  <c r="P125" i="8"/>
  <c r="J139" i="2" s="1"/>
  <c r="AA125" i="8"/>
  <c r="AB125" i="8" s="1"/>
  <c r="W126" i="8"/>
  <c r="N140" i="2" s="1"/>
  <c r="L128" i="8"/>
  <c r="P128" i="8"/>
  <c r="J142" i="2" s="1"/>
  <c r="AM129" i="8"/>
  <c r="O143" i="2" s="1"/>
  <c r="AL133" i="8"/>
  <c r="AB147" i="8"/>
  <c r="T148" i="8"/>
  <c r="L148" i="8"/>
  <c r="P148" i="8"/>
  <c r="J162" i="2" s="1"/>
  <c r="AA153" i="8"/>
  <c r="AC153" i="8" s="1"/>
  <c r="AA157" i="8"/>
  <c r="AB157" i="8" s="1"/>
  <c r="K523" i="9"/>
  <c r="K524" i="9"/>
  <c r="K525" i="9"/>
  <c r="AA166" i="8"/>
  <c r="AB166" i="8" s="1"/>
  <c r="T167" i="8"/>
  <c r="L167" i="8"/>
  <c r="K550" i="9"/>
  <c r="K548" i="9"/>
  <c r="K549" i="9"/>
  <c r="K578" i="9"/>
  <c r="K579" i="9"/>
  <c r="P178" i="8"/>
  <c r="J192" i="2" s="1"/>
  <c r="L178" i="8"/>
  <c r="G192" i="2" s="1"/>
  <c r="K219" i="9"/>
  <c r="K240" i="9"/>
  <c r="K243" i="9"/>
  <c r="K264" i="9"/>
  <c r="K288" i="9"/>
  <c r="K221" i="9"/>
  <c r="K242" i="9"/>
  <c r="AC108" i="8"/>
  <c r="AB112" i="8"/>
  <c r="AM117" i="8"/>
  <c r="O131" i="2" s="1"/>
  <c r="V129" i="8"/>
  <c r="P132" i="8"/>
  <c r="AB132" i="8"/>
  <c r="V134" i="8"/>
  <c r="V143" i="8"/>
  <c r="AB143" i="8"/>
  <c r="P146" i="8"/>
  <c r="J160" i="2" s="1"/>
  <c r="T147" i="8"/>
  <c r="W147" i="8" s="1"/>
  <c r="P149" i="8"/>
  <c r="J163" i="2" s="1"/>
  <c r="AA150" i="8"/>
  <c r="AC150" i="8" s="1"/>
  <c r="AB150" i="8"/>
  <c r="P152" i="8"/>
  <c r="J166" i="2" s="1"/>
  <c r="L152" i="8"/>
  <c r="K502" i="9"/>
  <c r="K503" i="9"/>
  <c r="K500" i="9"/>
  <c r="K501" i="9"/>
  <c r="P154" i="8"/>
  <c r="J168" i="2" s="1"/>
  <c r="T155" i="8"/>
  <c r="P157" i="8"/>
  <c r="J171" i="2" s="1"/>
  <c r="AO166" i="8"/>
  <c r="AB167" i="8"/>
  <c r="AP167" i="8"/>
  <c r="AC167" i="8"/>
  <c r="AC174" i="8"/>
  <c r="L175" i="8"/>
  <c r="P175" i="8"/>
  <c r="J189" i="2" s="1"/>
  <c r="W161" i="8"/>
  <c r="AB126" i="8"/>
  <c r="K310" i="9"/>
  <c r="K311" i="9"/>
  <c r="K315" i="9"/>
  <c r="K316" i="9"/>
  <c r="K369" i="9"/>
  <c r="K368" i="9"/>
  <c r="K375" i="9"/>
  <c r="K376" i="9"/>
  <c r="K374" i="9"/>
  <c r="AP121" i="8"/>
  <c r="AC121" i="8"/>
  <c r="V122" i="8"/>
  <c r="K411" i="9"/>
  <c r="K410" i="9"/>
  <c r="K412" i="9"/>
  <c r="K409" i="9"/>
  <c r="K420" i="9"/>
  <c r="K419" i="9"/>
  <c r="K421" i="9"/>
  <c r="W137" i="8"/>
  <c r="K448" i="9"/>
  <c r="K449" i="9"/>
  <c r="K450" i="9"/>
  <c r="K454" i="9"/>
  <c r="K451" i="9"/>
  <c r="K452" i="9"/>
  <c r="K453" i="9"/>
  <c r="V141" i="8"/>
  <c r="V146" i="8"/>
  <c r="K478" i="9"/>
  <c r="K479" i="9"/>
  <c r="K476" i="9"/>
  <c r="K480" i="9"/>
  <c r="K477" i="9"/>
  <c r="AA148" i="8"/>
  <c r="AC148" i="8" s="1"/>
  <c r="AB148" i="8"/>
  <c r="V154" i="8"/>
  <c r="K508" i="9"/>
  <c r="K509" i="9"/>
  <c r="AA156" i="8"/>
  <c r="AC156" i="8" s="1"/>
  <c r="AB156" i="8"/>
  <c r="P158" i="8"/>
  <c r="J172" i="2" s="1"/>
  <c r="L158" i="8"/>
  <c r="K520" i="9"/>
  <c r="K518" i="9"/>
  <c r="K519" i="9"/>
  <c r="AM160" i="8"/>
  <c r="O174" i="2" s="1"/>
  <c r="AO160" i="8"/>
  <c r="AP161" i="8"/>
  <c r="AB161" i="8"/>
  <c r="AP163" i="8"/>
  <c r="AB163" i="8"/>
  <c r="K541" i="9"/>
  <c r="K538" i="9"/>
  <c r="K539" i="9"/>
  <c r="AB165" i="8"/>
  <c r="AL166" i="8"/>
  <c r="AC169" i="8"/>
  <c r="AP169" i="8"/>
  <c r="AB169" i="8"/>
  <c r="AC171" i="8"/>
  <c r="AA171" i="8"/>
  <c r="AB171" i="8" s="1"/>
  <c r="AP171" i="8"/>
  <c r="AA172" i="8"/>
  <c r="AA175" i="8"/>
  <c r="AB175" i="8" s="1"/>
  <c r="AB177" i="8"/>
  <c r="AC177" i="8"/>
  <c r="P14" i="10"/>
  <c r="AK162" i="8"/>
  <c r="AK144" i="8"/>
  <c r="AK160" i="8"/>
  <c r="P9" i="10"/>
  <c r="AB122" i="8"/>
  <c r="AM124" i="8"/>
  <c r="O138" i="2" s="1"/>
  <c r="AM130" i="8"/>
  <c r="O144" i="2" s="1"/>
  <c r="AB137" i="8"/>
  <c r="AB140" i="8"/>
  <c r="AB141" i="8"/>
  <c r="K475" i="9"/>
  <c r="K472" i="9"/>
  <c r="K473" i="9"/>
  <c r="K474" i="9"/>
  <c r="K505" i="9"/>
  <c r="K506" i="9"/>
  <c r="K507" i="9"/>
  <c r="K568" i="9"/>
  <c r="K569" i="9"/>
  <c r="AC180" i="8"/>
  <c r="K504" i="9"/>
  <c r="AC137" i="8"/>
  <c r="AC140" i="8"/>
  <c r="K466" i="9"/>
  <c r="K467" i="9"/>
  <c r="K465" i="9"/>
  <c r="K484" i="9"/>
  <c r="K481" i="9"/>
  <c r="K482" i="9"/>
  <c r="K483" i="9"/>
  <c r="K490" i="9"/>
  <c r="K488" i="9"/>
  <c r="K489" i="9"/>
  <c r="K499" i="9"/>
  <c r="K496" i="9"/>
  <c r="K497" i="9"/>
  <c r="K498" i="9"/>
  <c r="K511" i="9"/>
  <c r="K510" i="9"/>
  <c r="K517" i="9"/>
  <c r="K515" i="9"/>
  <c r="K516" i="9"/>
  <c r="W164" i="8"/>
  <c r="K544" i="9"/>
  <c r="K545" i="9"/>
  <c r="K542" i="9"/>
  <c r="K543" i="9"/>
  <c r="AC166" i="8"/>
  <c r="K571" i="9"/>
  <c r="K570" i="9"/>
  <c r="AC175" i="8"/>
  <c r="D18" i="11"/>
  <c r="F18" i="11" s="1"/>
  <c r="K495" i="9"/>
  <c r="K522" i="9"/>
  <c r="L163" i="8"/>
  <c r="P163" i="8"/>
  <c r="J177" i="2" s="1"/>
  <c r="K535" i="9"/>
  <c r="K536" i="9"/>
  <c r="K559" i="9"/>
  <c r="K560" i="9"/>
  <c r="K557" i="9"/>
  <c r="X170" i="8"/>
  <c r="AK181" i="8"/>
  <c r="R14" i="10"/>
  <c r="Q12" i="10"/>
  <c r="Q10" i="10"/>
  <c r="R11" i="10"/>
  <c r="R9" i="10"/>
  <c r="P11" i="10"/>
  <c r="Q13" i="10"/>
  <c r="K537" i="9"/>
  <c r="R10" i="10"/>
  <c r="R12" i="10"/>
  <c r="P13" i="10"/>
  <c r="K30" i="10" l="1"/>
  <c r="L30" i="10"/>
  <c r="AM147" i="8"/>
  <c r="O161" i="2" s="1"/>
  <c r="N161" i="2"/>
  <c r="AB181" i="8"/>
  <c r="AA181" i="8"/>
  <c r="AC181" i="8" s="1"/>
  <c r="AP181" i="8"/>
  <c r="AA160" i="8"/>
  <c r="AB160" i="8" s="1"/>
  <c r="AC160" i="8"/>
  <c r="AP160" i="8"/>
  <c r="AM137" i="8"/>
  <c r="O151" i="2" s="1"/>
  <c r="N151" i="2"/>
  <c r="U155" i="8"/>
  <c r="V155" i="8" s="1"/>
  <c r="M169" i="2"/>
  <c r="W152" i="8"/>
  <c r="G166" i="2"/>
  <c r="W128" i="8"/>
  <c r="G142" i="2"/>
  <c r="U131" i="8"/>
  <c r="V131" i="8" s="1"/>
  <c r="M145" i="2"/>
  <c r="K458" i="9"/>
  <c r="K459" i="9"/>
  <c r="W123" i="8"/>
  <c r="G137" i="2"/>
  <c r="AC113" i="8"/>
  <c r="V97" i="8"/>
  <c r="M111" i="2"/>
  <c r="V81" i="8"/>
  <c r="U81" i="8"/>
  <c r="M95" i="2"/>
  <c r="V71" i="8"/>
  <c r="U71" i="8"/>
  <c r="M85" i="2"/>
  <c r="W60" i="8"/>
  <c r="J74" i="2"/>
  <c r="AB154" i="8"/>
  <c r="W67" i="8"/>
  <c r="G81" i="2"/>
  <c r="K178" i="9"/>
  <c r="K179" i="9"/>
  <c r="K177" i="9"/>
  <c r="U162" i="8"/>
  <c r="V162" i="8" s="1"/>
  <c r="M176" i="2"/>
  <c r="K291" i="9"/>
  <c r="K293" i="9"/>
  <c r="K292" i="9"/>
  <c r="K290" i="9"/>
  <c r="W63" i="8"/>
  <c r="G77" i="2"/>
  <c r="W90" i="8"/>
  <c r="AC63" i="8"/>
  <c r="K312" i="9"/>
  <c r="K313" i="9"/>
  <c r="K314" i="9"/>
  <c r="AB66" i="8"/>
  <c r="AC62" i="8"/>
  <c r="AB62" i="8"/>
  <c r="W54" i="8"/>
  <c r="J68" i="2"/>
  <c r="V47" i="8"/>
  <c r="U47" i="8"/>
  <c r="M61" i="2"/>
  <c r="J35" i="10"/>
  <c r="J26" i="10"/>
  <c r="AB42" i="8"/>
  <c r="AC34" i="8"/>
  <c r="AC28" i="8"/>
  <c r="AB28" i="8"/>
  <c r="K118" i="9"/>
  <c r="K117" i="9"/>
  <c r="K116" i="9"/>
  <c r="F13" i="7"/>
  <c r="G13" i="7"/>
  <c r="AC27" i="8"/>
  <c r="K67" i="9"/>
  <c r="K64" i="9"/>
  <c r="K65" i="9"/>
  <c r="K68" i="9"/>
  <c r="K66" i="9"/>
  <c r="I19" i="3"/>
  <c r="AB43" i="8"/>
  <c r="W32" i="8"/>
  <c r="G46" i="2"/>
  <c r="AC6" i="8"/>
  <c r="W87" i="8"/>
  <c r="AC7" i="8"/>
  <c r="J14" i="3"/>
  <c r="L170" i="8"/>
  <c r="G184" i="2" s="1"/>
  <c r="AB170" i="8"/>
  <c r="P170" i="8"/>
  <c r="J184" i="2" s="1"/>
  <c r="AP144" i="8"/>
  <c r="J36" i="10" s="1"/>
  <c r="AA144" i="8"/>
  <c r="J15" i="3" s="1"/>
  <c r="AC144" i="8"/>
  <c r="AC172" i="8"/>
  <c r="AB172" i="8"/>
  <c r="W167" i="8"/>
  <c r="G181" i="2"/>
  <c r="W146" i="8"/>
  <c r="AB99" i="8"/>
  <c r="AC99" i="8"/>
  <c r="K565" i="9"/>
  <c r="K566" i="9"/>
  <c r="K564" i="9"/>
  <c r="W145" i="8"/>
  <c r="G159" i="2"/>
  <c r="W171" i="8"/>
  <c r="G185" i="2"/>
  <c r="K514" i="9"/>
  <c r="K512" i="9"/>
  <c r="K513" i="9"/>
  <c r="W144" i="8"/>
  <c r="G158" i="2"/>
  <c r="K583" i="9"/>
  <c r="K584" i="9"/>
  <c r="K487" i="9"/>
  <c r="K485" i="9"/>
  <c r="K486" i="9"/>
  <c r="K457" i="9"/>
  <c r="K455" i="9"/>
  <c r="K456" i="9"/>
  <c r="K435" i="9"/>
  <c r="K432" i="9"/>
  <c r="K434" i="9"/>
  <c r="K433" i="9"/>
  <c r="W89" i="8"/>
  <c r="G103" i="2"/>
  <c r="AC59" i="8"/>
  <c r="AB59" i="8"/>
  <c r="W74" i="8"/>
  <c r="G88" i="2"/>
  <c r="K226" i="9"/>
  <c r="K223" i="9"/>
  <c r="K224" i="9"/>
  <c r="K225" i="9"/>
  <c r="K222" i="9"/>
  <c r="G21" i="7" s="1"/>
  <c r="W61" i="8"/>
  <c r="G75" i="2"/>
  <c r="W51" i="8"/>
  <c r="J65" i="2"/>
  <c r="U75" i="8"/>
  <c r="V75" i="8"/>
  <c r="M89" i="2"/>
  <c r="W105" i="8"/>
  <c r="G119" i="2"/>
  <c r="V53" i="8"/>
  <c r="U53" i="8"/>
  <c r="M67" i="2"/>
  <c r="W39" i="8"/>
  <c r="J53" i="2"/>
  <c r="W53" i="8"/>
  <c r="J27" i="10"/>
  <c r="J28" i="10"/>
  <c r="AM30" i="8"/>
  <c r="O44" i="2" s="1"/>
  <c r="N44" i="2"/>
  <c r="U58" i="8"/>
  <c r="V58" i="8" s="1"/>
  <c r="M72" i="2"/>
  <c r="AC23" i="8"/>
  <c r="AB23" i="8"/>
  <c r="AB8" i="8"/>
  <c r="AC8" i="8"/>
  <c r="C11" i="4"/>
  <c r="J13" i="3"/>
  <c r="K35" i="9"/>
  <c r="K36" i="9"/>
  <c r="K34" i="9"/>
  <c r="K37" i="9"/>
  <c r="I17" i="3"/>
  <c r="F9" i="10"/>
  <c r="D8" i="11" s="1"/>
  <c r="F8" i="11" s="1"/>
  <c r="H9" i="10"/>
  <c r="D9" i="11" s="1"/>
  <c r="F9" i="11" s="1"/>
  <c r="W34" i="8"/>
  <c r="C10" i="4"/>
  <c r="I15" i="3"/>
  <c r="AM18" i="8"/>
  <c r="O32" i="2" s="1"/>
  <c r="N32" i="2"/>
  <c r="C22" i="4"/>
  <c r="W163" i="8"/>
  <c r="G177" i="2"/>
  <c r="AP162" i="8"/>
  <c r="AA162" i="8"/>
  <c r="AC162" i="8" s="1"/>
  <c r="U167" i="8"/>
  <c r="V167" i="8" s="1"/>
  <c r="M181" i="2"/>
  <c r="K429" i="9"/>
  <c r="K431" i="9"/>
  <c r="K428" i="9"/>
  <c r="K430" i="9"/>
  <c r="W118" i="8"/>
  <c r="G132" i="2"/>
  <c r="AC119" i="8"/>
  <c r="K493" i="9"/>
  <c r="K494" i="9"/>
  <c r="K491" i="9"/>
  <c r="K492" i="9"/>
  <c r="U171" i="8"/>
  <c r="V171" i="8" s="1"/>
  <c r="M185" i="2"/>
  <c r="AP146" i="8"/>
  <c r="AC120" i="8"/>
  <c r="AC103" i="8"/>
  <c r="U96" i="8"/>
  <c r="V96" i="8" s="1"/>
  <c r="M110" i="2"/>
  <c r="K580" i="9"/>
  <c r="K581" i="9"/>
  <c r="G19" i="7" s="1"/>
  <c r="K582" i="9"/>
  <c r="W125" i="8"/>
  <c r="G139" i="2"/>
  <c r="U119" i="8"/>
  <c r="V119" i="8"/>
  <c r="M133" i="2"/>
  <c r="V169" i="8"/>
  <c r="M183" i="2"/>
  <c r="W156" i="8"/>
  <c r="G170" i="2"/>
  <c r="W149" i="8"/>
  <c r="AC80" i="8"/>
  <c r="V89" i="8"/>
  <c r="U89" i="8"/>
  <c r="M103" i="2"/>
  <c r="W75" i="8"/>
  <c r="G89" i="2"/>
  <c r="AC69" i="8"/>
  <c r="AB69" i="8"/>
  <c r="K553" i="9"/>
  <c r="K551" i="9"/>
  <c r="K552" i="9"/>
  <c r="K300" i="9"/>
  <c r="K298" i="9"/>
  <c r="K299" i="9"/>
  <c r="W71" i="8"/>
  <c r="G85" i="2"/>
  <c r="W162" i="8"/>
  <c r="G176" i="2"/>
  <c r="AC145" i="8"/>
  <c r="AB98" i="8"/>
  <c r="K277" i="9"/>
  <c r="K275" i="9"/>
  <c r="K276" i="9"/>
  <c r="W84" i="8"/>
  <c r="G98" i="2"/>
  <c r="K205" i="9"/>
  <c r="K206" i="9"/>
  <c r="K207" i="9"/>
  <c r="K204" i="9"/>
  <c r="AC157" i="8"/>
  <c r="U105" i="8"/>
  <c r="V105" i="8"/>
  <c r="M119" i="2"/>
  <c r="AC93" i="8"/>
  <c r="W82" i="8"/>
  <c r="G96" i="2"/>
  <c r="W80" i="8"/>
  <c r="G94" i="2"/>
  <c r="W119" i="8"/>
  <c r="V87" i="8"/>
  <c r="U87" i="8"/>
  <c r="M101" i="2"/>
  <c r="U57" i="8"/>
  <c r="V57" i="8" s="1"/>
  <c r="M71" i="2"/>
  <c r="C19" i="4"/>
  <c r="W38" i="8"/>
  <c r="U38" i="8"/>
  <c r="V38" i="8" s="1"/>
  <c r="M52" i="2"/>
  <c r="J31" i="10"/>
  <c r="H21" i="3"/>
  <c r="AB50" i="8"/>
  <c r="I16" i="3"/>
  <c r="U43" i="8"/>
  <c r="V43" i="8" s="1"/>
  <c r="M57" i="2"/>
  <c r="U22" i="8"/>
  <c r="V22" i="8" s="1"/>
  <c r="M36" i="2"/>
  <c r="W13" i="8"/>
  <c r="AB6" i="8"/>
  <c r="B13" i="10"/>
  <c r="AB20" i="8"/>
  <c r="B7" i="3"/>
  <c r="W19" i="8"/>
  <c r="W10" i="8"/>
  <c r="G8" i="7"/>
  <c r="F8" i="7"/>
  <c r="W27" i="8"/>
  <c r="G41" i="2"/>
  <c r="AB16" i="8"/>
  <c r="W12" i="8"/>
  <c r="G26" i="2"/>
  <c r="AM5" i="8"/>
  <c r="O19" i="2" s="1"/>
  <c r="N19" i="2"/>
  <c r="K547" i="9"/>
  <c r="K546" i="9"/>
  <c r="W155" i="8"/>
  <c r="AM161" i="8"/>
  <c r="O175" i="2" s="1"/>
  <c r="N175" i="2"/>
  <c r="AC125" i="8"/>
  <c r="U118" i="8"/>
  <c r="V118" i="8" s="1"/>
  <c r="M132" i="2"/>
  <c r="AM169" i="8"/>
  <c r="O183" i="2" s="1"/>
  <c r="N183" i="2"/>
  <c r="AB130" i="8"/>
  <c r="AC130" i="8"/>
  <c r="K378" i="9"/>
  <c r="K377" i="9"/>
  <c r="U90" i="8"/>
  <c r="V90" i="8" s="1"/>
  <c r="M104" i="2"/>
  <c r="AM173" i="8"/>
  <c r="O187" i="2" s="1"/>
  <c r="N187" i="2"/>
  <c r="K463" i="9"/>
  <c r="K460" i="9"/>
  <c r="K464" i="9"/>
  <c r="K461" i="9"/>
  <c r="K462" i="9"/>
  <c r="U125" i="8"/>
  <c r="V125" i="8" s="1"/>
  <c r="M139" i="2"/>
  <c r="U156" i="8"/>
  <c r="V156" i="8"/>
  <c r="M170" i="2"/>
  <c r="AC110" i="8"/>
  <c r="AC86" i="8"/>
  <c r="K327" i="9"/>
  <c r="K324" i="9"/>
  <c r="K325" i="9"/>
  <c r="K326" i="9"/>
  <c r="AC74" i="8"/>
  <c r="K190" i="9"/>
  <c r="K191" i="9"/>
  <c r="K192" i="9"/>
  <c r="W157" i="8"/>
  <c r="K342" i="9"/>
  <c r="K343" i="9"/>
  <c r="K344" i="9"/>
  <c r="K341" i="9"/>
  <c r="W86" i="8"/>
  <c r="G100" i="2"/>
  <c r="U80" i="8"/>
  <c r="V80" i="8" s="1"/>
  <c r="M94" i="2"/>
  <c r="AM114" i="8"/>
  <c r="O128" i="2" s="1"/>
  <c r="N128" i="2"/>
  <c r="W96" i="8"/>
  <c r="V56" i="8"/>
  <c r="U56" i="8"/>
  <c r="M70" i="2"/>
  <c r="I18" i="3"/>
  <c r="W45" i="8"/>
  <c r="J59" i="2"/>
  <c r="W56" i="8"/>
  <c r="F15" i="7"/>
  <c r="G15" i="7"/>
  <c r="J29" i="10"/>
  <c r="J32" i="10"/>
  <c r="AC58" i="8"/>
  <c r="U34" i="8"/>
  <c r="V34" i="8" s="1"/>
  <c r="M48" i="2"/>
  <c r="AB17" i="8"/>
  <c r="AC17" i="8"/>
  <c r="J19" i="3"/>
  <c r="K17" i="9"/>
  <c r="K18" i="9"/>
  <c r="K16" i="9"/>
  <c r="K19" i="9"/>
  <c r="K160" i="9"/>
  <c r="K157" i="9"/>
  <c r="K158" i="9"/>
  <c r="K159" i="9"/>
  <c r="U13" i="8"/>
  <c r="V13" i="8"/>
  <c r="M27" i="2"/>
  <c r="AB46" i="8"/>
  <c r="B9" i="10"/>
  <c r="D6" i="11" s="1"/>
  <c r="F6" i="11" s="1"/>
  <c r="K38" i="9"/>
  <c r="K39" i="9"/>
  <c r="K40" i="9"/>
  <c r="E21" i="3"/>
  <c r="W50" i="8"/>
  <c r="C8" i="4"/>
  <c r="AM164" i="8"/>
  <c r="O178" i="2" s="1"/>
  <c r="N178" i="2"/>
  <c r="W148" i="8"/>
  <c r="G162" i="2"/>
  <c r="AB106" i="8"/>
  <c r="AC106" i="8"/>
  <c r="K405" i="9"/>
  <c r="K402" i="9"/>
  <c r="K404" i="9"/>
  <c r="K401" i="9"/>
  <c r="K403" i="9"/>
  <c r="AM126" i="8"/>
  <c r="O140" i="2" s="1"/>
  <c r="AB117" i="8"/>
  <c r="AC117" i="8"/>
  <c r="K372" i="9"/>
  <c r="K373" i="9"/>
  <c r="K370" i="9"/>
  <c r="K371" i="9"/>
  <c r="U113" i="8"/>
  <c r="V113" i="8" s="1"/>
  <c r="M127" i="2"/>
  <c r="AM174" i="8"/>
  <c r="O188" i="2" s="1"/>
  <c r="N188" i="2"/>
  <c r="AB155" i="8"/>
  <c r="AB97" i="8"/>
  <c r="U82" i="8"/>
  <c r="V82" i="8"/>
  <c r="M96" i="2"/>
  <c r="U61" i="8"/>
  <c r="V61" i="8" s="1"/>
  <c r="M75" i="2"/>
  <c r="AM153" i="8"/>
  <c r="O167" i="2" s="1"/>
  <c r="N167" i="2"/>
  <c r="AM107" i="8"/>
  <c r="O121" i="2" s="1"/>
  <c r="U86" i="8"/>
  <c r="V86" i="8" s="1"/>
  <c r="M100" i="2"/>
  <c r="K259" i="9"/>
  <c r="K256" i="9"/>
  <c r="K257" i="9"/>
  <c r="K258" i="9"/>
  <c r="U44" i="8"/>
  <c r="V44" i="8" s="1"/>
  <c r="M58" i="2"/>
  <c r="W36" i="8"/>
  <c r="J50" i="2"/>
  <c r="G17" i="7"/>
  <c r="F17" i="7"/>
  <c r="J33" i="10"/>
  <c r="J34" i="10"/>
  <c r="D15" i="11"/>
  <c r="F15" i="11" s="1"/>
  <c r="AM57" i="8"/>
  <c r="O71" i="2" s="1"/>
  <c r="W41" i="8"/>
  <c r="G55" i="2"/>
  <c r="K139" i="9"/>
  <c r="K137" i="9"/>
  <c r="K138" i="9"/>
  <c r="F7" i="7" s="1"/>
  <c r="AC15" i="8"/>
  <c r="AB15" i="8"/>
  <c r="W21" i="8"/>
  <c r="G35" i="2"/>
  <c r="C18" i="4"/>
  <c r="K88" i="9"/>
  <c r="K85" i="9"/>
  <c r="G25" i="7" s="1"/>
  <c r="K86" i="9"/>
  <c r="K87" i="9"/>
  <c r="G11" i="7"/>
  <c r="F11" i="7"/>
  <c r="F10" i="7"/>
  <c r="D13" i="10"/>
  <c r="D12" i="11" s="1"/>
  <c r="F12" i="11" s="1"/>
  <c r="J9" i="10"/>
  <c r="D10" i="11" s="1"/>
  <c r="F10" i="11" s="1"/>
  <c r="W81" i="8"/>
  <c r="AB22" i="8"/>
  <c r="K14" i="9"/>
  <c r="K15" i="9"/>
  <c r="K13" i="9"/>
  <c r="G22" i="7" s="1"/>
  <c r="K108" i="9"/>
  <c r="K107" i="9"/>
  <c r="K70" i="9"/>
  <c r="K69" i="9"/>
  <c r="K130" i="9"/>
  <c r="K131" i="9"/>
  <c r="K132" i="9"/>
  <c r="V27" i="8"/>
  <c r="U27" i="8"/>
  <c r="M41" i="2"/>
  <c r="I14" i="3"/>
  <c r="AP170" i="8"/>
  <c r="W158" i="8"/>
  <c r="G172" i="2"/>
  <c r="W175" i="8"/>
  <c r="G189" i="2"/>
  <c r="U147" i="8"/>
  <c r="V147" i="8" s="1"/>
  <c r="M161" i="2"/>
  <c r="W132" i="8"/>
  <c r="J146" i="2"/>
  <c r="U148" i="8"/>
  <c r="V148" i="8"/>
  <c r="M162" i="2"/>
  <c r="W92" i="8"/>
  <c r="G106" i="2"/>
  <c r="K262" i="9"/>
  <c r="K260" i="9"/>
  <c r="K261" i="9"/>
  <c r="W131" i="8"/>
  <c r="G145" i="2"/>
  <c r="AB153" i="8"/>
  <c r="K440" i="9"/>
  <c r="K437" i="9"/>
  <c r="K438" i="9"/>
  <c r="F22" i="7" s="1"/>
  <c r="K439" i="9"/>
  <c r="K436" i="9"/>
  <c r="AM165" i="8"/>
  <c r="O179" i="2" s="1"/>
  <c r="N179" i="2"/>
  <c r="W154" i="8"/>
  <c r="W95" i="8"/>
  <c r="G109" i="2"/>
  <c r="K423" i="9"/>
  <c r="G10" i="7" s="1"/>
  <c r="K422" i="9"/>
  <c r="K424" i="9"/>
  <c r="W97" i="8"/>
  <c r="G111" i="2"/>
  <c r="AC83" i="8"/>
  <c r="AB83" i="8"/>
  <c r="W113" i="8"/>
  <c r="K309" i="9"/>
  <c r="K307" i="9"/>
  <c r="K308" i="9"/>
  <c r="K199" i="9"/>
  <c r="K197" i="9"/>
  <c r="K198" i="9"/>
  <c r="AM93" i="8"/>
  <c r="O107" i="2" s="1"/>
  <c r="N107" i="2"/>
  <c r="K280" i="9"/>
  <c r="K281" i="9"/>
  <c r="K278" i="9"/>
  <c r="K282" i="9"/>
  <c r="K279" i="9"/>
  <c r="K232" i="9"/>
  <c r="F6" i="7" s="1"/>
  <c r="K233" i="9"/>
  <c r="K230" i="9"/>
  <c r="K231" i="9"/>
  <c r="G3" i="7" s="1"/>
  <c r="U67" i="8"/>
  <c r="V67" i="8" s="1"/>
  <c r="M81" i="2"/>
  <c r="W48" i="8"/>
  <c r="J62" i="2"/>
  <c r="W35" i="8"/>
  <c r="U35" i="8"/>
  <c r="V35" i="8" s="1"/>
  <c r="M49" i="2"/>
  <c r="J37" i="10"/>
  <c r="Q14" i="10"/>
  <c r="U50" i="8"/>
  <c r="V50" i="8" s="1"/>
  <c r="M64" i="2"/>
  <c r="F37" i="10"/>
  <c r="F35" i="10"/>
  <c r="F33" i="10"/>
  <c r="F31" i="10"/>
  <c r="F29" i="10"/>
  <c r="F27" i="10"/>
  <c r="F36" i="10"/>
  <c r="F32" i="10"/>
  <c r="F28" i="10"/>
  <c r="F34" i="10"/>
  <c r="F26" i="10"/>
  <c r="F30" i="10"/>
  <c r="W47" i="8"/>
  <c r="AC37" i="8"/>
  <c r="B36" i="10"/>
  <c r="B34" i="10"/>
  <c r="B32" i="10"/>
  <c r="B30" i="10"/>
  <c r="B28" i="10"/>
  <c r="B26" i="10"/>
  <c r="B35" i="10"/>
  <c r="B31" i="10"/>
  <c r="B27" i="10"/>
  <c r="B37" i="10"/>
  <c r="B29" i="10"/>
  <c r="B33" i="10"/>
  <c r="W58" i="8"/>
  <c r="G72" i="2"/>
  <c r="AC14" i="8"/>
  <c r="AB14" i="8"/>
  <c r="J24" i="10"/>
  <c r="J16" i="3"/>
  <c r="W44" i="8"/>
  <c r="G18" i="7"/>
  <c r="F18" i="7"/>
  <c r="K52" i="9"/>
  <c r="K50" i="9"/>
  <c r="F4" i="7" s="1"/>
  <c r="K51" i="9"/>
  <c r="G21" i="2"/>
  <c r="W7" i="8"/>
  <c r="I20" i="3"/>
  <c r="W43" i="8"/>
  <c r="G57" i="2"/>
  <c r="U32" i="8"/>
  <c r="V32" i="8" s="1"/>
  <c r="M46" i="2"/>
  <c r="G5" i="7"/>
  <c r="F5" i="7"/>
  <c r="D9" i="10"/>
  <c r="D7" i="11" s="1"/>
  <c r="F7" i="11" s="1"/>
  <c r="W69" i="8"/>
  <c r="W22" i="8"/>
  <c r="C17" i="4"/>
  <c r="C9" i="4"/>
  <c r="U7" i="8"/>
  <c r="V7" i="8" s="1"/>
  <c r="C20" i="4"/>
  <c r="M21" i="2"/>
  <c r="AM26" i="8"/>
  <c r="O40" i="2" s="1"/>
  <c r="J18" i="3"/>
  <c r="W2" i="8"/>
  <c r="I13" i="3"/>
  <c r="K36" i="10" l="1"/>
  <c r="L36" i="10"/>
  <c r="C29" i="10"/>
  <c r="D29" i="10"/>
  <c r="C28" i="10"/>
  <c r="D28" i="10"/>
  <c r="AM47" i="8"/>
  <c r="O61" i="2" s="1"/>
  <c r="N61" i="2"/>
  <c r="G36" i="10"/>
  <c r="H36" i="10"/>
  <c r="G37" i="10"/>
  <c r="H37" i="10"/>
  <c r="N111" i="2"/>
  <c r="AM97" i="8"/>
  <c r="O111" i="2" s="1"/>
  <c r="AM154" i="8"/>
  <c r="O168" i="2" s="1"/>
  <c r="N168" i="2"/>
  <c r="G24" i="7"/>
  <c r="F24" i="7"/>
  <c r="N55" i="2"/>
  <c r="AM41" i="8"/>
  <c r="O55" i="2" s="1"/>
  <c r="N64" i="2"/>
  <c r="AM50" i="8"/>
  <c r="O64" i="2" s="1"/>
  <c r="G12" i="7"/>
  <c r="F12" i="7"/>
  <c r="AM19" i="8"/>
  <c r="O33" i="2" s="1"/>
  <c r="N33" i="2"/>
  <c r="F25" i="7"/>
  <c r="N170" i="2"/>
  <c r="AM156" i="8"/>
  <c r="O170" i="2" s="1"/>
  <c r="AB162" i="8"/>
  <c r="K28" i="10"/>
  <c r="L28" i="10"/>
  <c r="AM145" i="8"/>
  <c r="O159" i="2" s="1"/>
  <c r="N159" i="2"/>
  <c r="AM146" i="8"/>
  <c r="O160" i="2" s="1"/>
  <c r="N160" i="2"/>
  <c r="AB144" i="8"/>
  <c r="N104" i="2"/>
  <c r="AM90" i="8"/>
  <c r="O104" i="2" s="1"/>
  <c r="N137" i="2"/>
  <c r="AM123" i="8"/>
  <c r="O137" i="2" s="1"/>
  <c r="D20" i="11"/>
  <c r="F20" i="11" s="1"/>
  <c r="I21" i="3"/>
  <c r="F6" i="3"/>
  <c r="F7" i="3"/>
  <c r="AM2" i="8"/>
  <c r="N16" i="2"/>
  <c r="N57" i="2"/>
  <c r="AM43" i="8"/>
  <c r="O57" i="2" s="1"/>
  <c r="C37" i="10"/>
  <c r="D37" i="10"/>
  <c r="C30" i="10"/>
  <c r="D30" i="10"/>
  <c r="G30" i="10"/>
  <c r="H30" i="10"/>
  <c r="G27" i="10"/>
  <c r="H27" i="10"/>
  <c r="N189" i="2"/>
  <c r="AM175" i="8"/>
  <c r="O189" i="2" s="1"/>
  <c r="G14" i="7"/>
  <c r="F14" i="7"/>
  <c r="N70" i="2"/>
  <c r="AM56" i="8"/>
  <c r="O70" i="2" s="1"/>
  <c r="N27" i="2"/>
  <c r="AM13" i="8"/>
  <c r="O27" i="2" s="1"/>
  <c r="AM119" i="8"/>
  <c r="O133" i="2" s="1"/>
  <c r="N133" i="2"/>
  <c r="N85" i="2"/>
  <c r="AM71" i="8"/>
  <c r="O85" i="2" s="1"/>
  <c r="N139" i="2"/>
  <c r="AM125" i="8"/>
  <c r="O139" i="2" s="1"/>
  <c r="K27" i="10"/>
  <c r="L27" i="10"/>
  <c r="N74" i="2"/>
  <c r="AM60" i="8"/>
  <c r="O74" i="2" s="1"/>
  <c r="N142" i="2"/>
  <c r="AM128" i="8"/>
  <c r="O142" i="2" s="1"/>
  <c r="N127" i="2"/>
  <c r="AM113" i="8"/>
  <c r="O127" i="2" s="1"/>
  <c r="N146" i="2"/>
  <c r="AM132" i="8"/>
  <c r="O146" i="2" s="1"/>
  <c r="F9" i="7"/>
  <c r="G9" i="7"/>
  <c r="N50" i="2"/>
  <c r="AM36" i="8"/>
  <c r="O50" i="2" s="1"/>
  <c r="N162" i="2"/>
  <c r="AM148" i="8"/>
  <c r="O162" i="2" s="1"/>
  <c r="G6" i="7"/>
  <c r="N110" i="2"/>
  <c r="AM96" i="8"/>
  <c r="O110" i="2" s="1"/>
  <c r="AM157" i="8"/>
  <c r="O171" i="2" s="1"/>
  <c r="N171" i="2"/>
  <c r="N41" i="2"/>
  <c r="AM27" i="8"/>
  <c r="O41" i="2" s="1"/>
  <c r="G7" i="7"/>
  <c r="N132" i="2"/>
  <c r="AM118" i="8"/>
  <c r="O132" i="2" s="1"/>
  <c r="F3" i="7"/>
  <c r="N67" i="2"/>
  <c r="AM53" i="8"/>
  <c r="O67" i="2" s="1"/>
  <c r="N65" i="2"/>
  <c r="AM51" i="8"/>
  <c r="O65" i="2" s="1"/>
  <c r="AM167" i="8"/>
  <c r="O181" i="2" s="1"/>
  <c r="N181" i="2"/>
  <c r="J17" i="3"/>
  <c r="J21" i="3" s="1"/>
  <c r="N46" i="2"/>
  <c r="AM32" i="8"/>
  <c r="O46" i="2" s="1"/>
  <c r="K26" i="10"/>
  <c r="L26" i="10"/>
  <c r="N77" i="2"/>
  <c r="AM63" i="8"/>
  <c r="O77" i="2" s="1"/>
  <c r="C32" i="10"/>
  <c r="D32" i="10"/>
  <c r="AM35" i="8"/>
  <c r="O49" i="2" s="1"/>
  <c r="N49" i="2"/>
  <c r="N21" i="2"/>
  <c r="AM7" i="8"/>
  <c r="O21" i="2" s="1"/>
  <c r="C31" i="10"/>
  <c r="D31" i="10"/>
  <c r="C34" i="10"/>
  <c r="D34" i="10"/>
  <c r="G34" i="10"/>
  <c r="H34" i="10"/>
  <c r="G31" i="10"/>
  <c r="H31" i="10"/>
  <c r="N106" i="2"/>
  <c r="AM92" i="8"/>
  <c r="O106" i="2" s="1"/>
  <c r="AM158" i="8"/>
  <c r="O172" i="2" s="1"/>
  <c r="N172" i="2"/>
  <c r="K34" i="10"/>
  <c r="L34" i="10"/>
  <c r="K32" i="10"/>
  <c r="L32" i="10"/>
  <c r="AM45" i="8"/>
  <c r="O59" i="2" s="1"/>
  <c r="N59" i="2"/>
  <c r="N100" i="2"/>
  <c r="AM86" i="8"/>
  <c r="O100" i="2" s="1"/>
  <c r="N94" i="2"/>
  <c r="AM80" i="8"/>
  <c r="O94" i="2" s="1"/>
  <c r="AM163" i="8"/>
  <c r="O177" i="2" s="1"/>
  <c r="N177" i="2"/>
  <c r="AM105" i="8"/>
  <c r="O119" i="2" s="1"/>
  <c r="N119" i="2"/>
  <c r="N103" i="2"/>
  <c r="AM89" i="8"/>
  <c r="O103" i="2" s="1"/>
  <c r="N101" i="2"/>
  <c r="AM87" i="8"/>
  <c r="O101" i="2" s="1"/>
  <c r="K35" i="10"/>
  <c r="L35" i="10"/>
  <c r="AM152" i="8"/>
  <c r="O166" i="2" s="1"/>
  <c r="N166" i="2"/>
  <c r="C27" i="10"/>
  <c r="D27" i="10"/>
  <c r="G26" i="10"/>
  <c r="H26" i="10"/>
  <c r="N36" i="2"/>
  <c r="AM22" i="8"/>
  <c r="O36" i="2" s="1"/>
  <c r="C35" i="10"/>
  <c r="D35" i="10"/>
  <c r="G33" i="10"/>
  <c r="H33" i="10"/>
  <c r="N145" i="2"/>
  <c r="AM131" i="8"/>
  <c r="O145" i="2" s="1"/>
  <c r="N95" i="2"/>
  <c r="AM81" i="8"/>
  <c r="O95" i="2" s="1"/>
  <c r="K33" i="10"/>
  <c r="L33" i="10"/>
  <c r="K29" i="10"/>
  <c r="L29" i="10"/>
  <c r="AM38" i="8"/>
  <c r="O52" i="2" s="1"/>
  <c r="N52" i="2"/>
  <c r="N98" i="2"/>
  <c r="AM84" i="8"/>
  <c r="O98" i="2" s="1"/>
  <c r="AM149" i="8"/>
  <c r="O163" i="2" s="1"/>
  <c r="N163" i="2"/>
  <c r="G2" i="7"/>
  <c r="I21" i="7" s="1"/>
  <c r="F2" i="7"/>
  <c r="H17" i="7" s="1"/>
  <c r="AM39" i="8"/>
  <c r="O53" i="2" s="1"/>
  <c r="N53" i="2"/>
  <c r="N75" i="2"/>
  <c r="AM61" i="8"/>
  <c r="O75" i="2" s="1"/>
  <c r="AM171" i="8"/>
  <c r="O185" i="2" s="1"/>
  <c r="N185" i="2"/>
  <c r="G4" i="7"/>
  <c r="F19" i="7"/>
  <c r="AM54" i="8"/>
  <c r="O68" i="2" s="1"/>
  <c r="N68" i="2"/>
  <c r="F21" i="7"/>
  <c r="N81" i="2"/>
  <c r="AM67" i="8"/>
  <c r="O81" i="2" s="1"/>
  <c r="G29" i="10"/>
  <c r="H29" i="10"/>
  <c r="N58" i="2"/>
  <c r="AM44" i="8"/>
  <c r="O58" i="2" s="1"/>
  <c r="N72" i="2"/>
  <c r="AM58" i="8"/>
  <c r="O72" i="2" s="1"/>
  <c r="C36" i="10"/>
  <c r="D36" i="10"/>
  <c r="G28" i="10"/>
  <c r="H28" i="10"/>
  <c r="N83" i="2"/>
  <c r="AM69" i="8"/>
  <c r="O83" i="2" s="1"/>
  <c r="C33" i="10"/>
  <c r="D33" i="10"/>
  <c r="C26" i="10"/>
  <c r="D26" i="10"/>
  <c r="G32" i="10"/>
  <c r="H32" i="10"/>
  <c r="G35" i="10"/>
  <c r="H35" i="10"/>
  <c r="K37" i="10"/>
  <c r="L37" i="10"/>
  <c r="AM48" i="8"/>
  <c r="O62" i="2" s="1"/>
  <c r="N62" i="2"/>
  <c r="N109" i="2"/>
  <c r="AM95" i="8"/>
  <c r="O109" i="2" s="1"/>
  <c r="N35" i="2"/>
  <c r="AM21" i="8"/>
  <c r="O35" i="2" s="1"/>
  <c r="G20" i="7"/>
  <c r="F20" i="7"/>
  <c r="G16" i="7"/>
  <c r="I13" i="7" s="1"/>
  <c r="F16" i="7"/>
  <c r="AM155" i="8"/>
  <c r="O169" i="2" s="1"/>
  <c r="N169" i="2"/>
  <c r="N26" i="2"/>
  <c r="AM12" i="8"/>
  <c r="O26" i="2" s="1"/>
  <c r="AM10" i="8"/>
  <c r="O24" i="2" s="1"/>
  <c r="N24" i="2"/>
  <c r="D11" i="11"/>
  <c r="F11" i="11" s="1"/>
  <c r="H13" i="10"/>
  <c r="K31" i="10"/>
  <c r="L31" i="10"/>
  <c r="N96" i="2"/>
  <c r="AM82" i="8"/>
  <c r="O96" i="2" s="1"/>
  <c r="AM162" i="8"/>
  <c r="O176" i="2" s="1"/>
  <c r="N176" i="2"/>
  <c r="N89" i="2"/>
  <c r="AM75" i="8"/>
  <c r="O89" i="2" s="1"/>
  <c r="N48" i="2"/>
  <c r="AM34" i="8"/>
  <c r="O48" i="2" s="1"/>
  <c r="AM74" i="8"/>
  <c r="O88" i="2" s="1"/>
  <c r="N88" i="2"/>
  <c r="AM144" i="8"/>
  <c r="O158" i="2" s="1"/>
  <c r="N158" i="2"/>
  <c r="G23" i="7"/>
  <c r="I23" i="7" s="1"/>
  <c r="F23" i="7"/>
  <c r="H23" i="7" s="1"/>
  <c r="K20" i="3" l="1"/>
  <c r="K17" i="3"/>
  <c r="K14" i="3"/>
  <c r="K18" i="3"/>
  <c r="K15" i="3"/>
  <c r="J8" i="3"/>
  <c r="K13" i="3"/>
  <c r="K16" i="3"/>
  <c r="K19" i="3"/>
  <c r="H20" i="7"/>
  <c r="J13" i="10"/>
  <c r="D14" i="11"/>
  <c r="F14" i="11" s="1"/>
  <c r="I20" i="7"/>
  <c r="H18" i="7"/>
  <c r="H19" i="7"/>
  <c r="I18" i="7"/>
  <c r="I7" i="7"/>
  <c r="H10" i="7"/>
  <c r="H15" i="7"/>
  <c r="I10" i="7"/>
  <c r="H7" i="7"/>
  <c r="I4" i="7"/>
  <c r="I5" i="7"/>
  <c r="I6" i="7"/>
  <c r="I9" i="7"/>
  <c r="J7" i="3"/>
  <c r="K8" i="2"/>
  <c r="H8" i="2"/>
  <c r="H12" i="2"/>
  <c r="E8" i="2"/>
  <c r="E12" i="2"/>
  <c r="N12" i="2" s="1"/>
  <c r="B8" i="2"/>
  <c r="O16" i="2"/>
  <c r="B12" i="2"/>
  <c r="K12" i="2" s="1"/>
  <c r="N8" i="2"/>
  <c r="H12" i="7"/>
  <c r="I19" i="7"/>
  <c r="H2" i="7"/>
  <c r="H8" i="7"/>
  <c r="H9" i="7"/>
  <c r="J6" i="3"/>
  <c r="H14" i="7"/>
  <c r="I12" i="7"/>
  <c r="H24" i="7"/>
  <c r="H16" i="7"/>
  <c r="H21" i="7"/>
  <c r="I2" i="7"/>
  <c r="I11" i="7"/>
  <c r="H3" i="7"/>
  <c r="I14" i="7"/>
  <c r="H25" i="7"/>
  <c r="I24" i="7"/>
  <c r="H4" i="7"/>
  <c r="H6" i="7"/>
  <c r="I15" i="7"/>
  <c r="I8" i="7"/>
  <c r="H13" i="7"/>
  <c r="I25" i="7"/>
  <c r="H22" i="7"/>
  <c r="I16" i="7"/>
  <c r="H11" i="7"/>
  <c r="H5" i="7"/>
  <c r="I17" i="7"/>
  <c r="I3" i="7"/>
  <c r="I22" i="7"/>
  <c r="J19" i="10" l="1"/>
  <c r="J20" i="10"/>
  <c r="J17" i="10"/>
  <c r="H21" i="10"/>
  <c r="H18" i="10"/>
  <c r="J21" i="10"/>
  <c r="J18" i="10"/>
  <c r="H17" i="10"/>
  <c r="D22" i="11" s="1"/>
  <c r="F22" i="11" s="1"/>
  <c r="B25" i="11" s="1"/>
  <c r="H19" i="10"/>
  <c r="H20" i="10"/>
  <c r="E21" i="10"/>
  <c r="E18" i="10"/>
  <c r="E19" i="10"/>
  <c r="C20" i="10"/>
  <c r="C17" i="10"/>
  <c r="D21" i="11" s="1"/>
  <c r="F21" i="11" s="1"/>
  <c r="C19" i="10"/>
  <c r="E20" i="10"/>
  <c r="E17" i="10"/>
  <c r="C18" i="10"/>
  <c r="C21" i="10"/>
  <c r="K2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5" authorId="0" shapeId="0" xr:uid="{00000000-0006-0000-0900-000001000000}">
      <text>
        <r>
          <rPr>
            <sz val="11"/>
            <color theme="1"/>
            <rFont val="Calibri"/>
            <family val="2"/>
            <charset val="1"/>
          </rPr>
          <t>Fecha de corte fija para que los resultados y las pruebas sean reproducibles. Para uso real, reemplazar por =HOY().</t>
        </r>
      </text>
    </comment>
    <comment ref="H13" authorId="0" shapeId="0" xr:uid="{00000000-0006-0000-0900-000002000000}">
      <text>
        <r>
          <rPr>
            <sz val="11"/>
            <color theme="1"/>
            <rFont val="Calibri"/>
            <family val="2"/>
            <charset val="1"/>
          </rPr>
          <t>Margen = Importe cobrable − (Costo materiales + Costo mano de obra)</t>
        </r>
      </text>
    </comment>
  </commentList>
</comments>
</file>

<file path=xl/sharedStrings.xml><?xml version="1.0" encoding="utf-8"?>
<sst xmlns="http://schemas.openxmlformats.org/spreadsheetml/2006/main" count="4793" uniqueCount="1849">
  <si>
    <t>ID_Repuesto</t>
  </si>
  <si>
    <t>Descripcion_Repuesto</t>
  </si>
  <si>
    <t>Categoria</t>
  </si>
  <si>
    <t>Costo_Unitario_Referencia</t>
  </si>
  <si>
    <t>Unidad_Medida</t>
  </si>
  <si>
    <t>Cantidad_Usada</t>
  </si>
  <si>
    <t>Costo_Consumo</t>
  </si>
  <si>
    <t>Rank_Cantidad</t>
  </si>
  <si>
    <t>Rank_Costo</t>
  </si>
  <si>
    <t>REP-001</t>
  </si>
  <si>
    <t>Filtro de aceite motor diésel</t>
  </si>
  <si>
    <t>Filtros/Aceites</t>
  </si>
  <si>
    <t>Unidad</t>
  </si>
  <si>
    <t>REP-002</t>
  </si>
  <si>
    <t>Filtro de aire</t>
  </si>
  <si>
    <t>REP-003</t>
  </si>
  <si>
    <t>Filtro de combustible</t>
  </si>
  <si>
    <t>REP-004</t>
  </si>
  <si>
    <t>Aceite motor 15W40</t>
  </si>
  <si>
    <t>Litro</t>
  </si>
  <si>
    <t>REP-005</t>
  </si>
  <si>
    <t>Aceite de caja 80W90</t>
  </si>
  <si>
    <t>REP-006</t>
  </si>
  <si>
    <t>Refrigerante concentrado</t>
  </si>
  <si>
    <t>REP-007</t>
  </si>
  <si>
    <t>Parabrisas panorámico</t>
  </si>
  <si>
    <t>Cristales/Espejos</t>
  </si>
  <si>
    <t>REP-008</t>
  </si>
  <si>
    <t>Ventana lateral templada</t>
  </si>
  <si>
    <t>REP-009</t>
  </si>
  <si>
    <t>Espejo retrovisor exterior</t>
  </si>
  <si>
    <t>REP-010</t>
  </si>
  <si>
    <t>Espejo interior panorámico</t>
  </si>
  <si>
    <t>REP-011</t>
  </si>
  <si>
    <t>Luneta trasera</t>
  </si>
  <si>
    <t>REP-012</t>
  </si>
  <si>
    <t>Kit sello de cristal</t>
  </si>
  <si>
    <t>Juego</t>
  </si>
  <si>
    <t>REP-013</t>
  </si>
  <si>
    <t>Fibra de vidrio (rollo)</t>
  </si>
  <si>
    <t>Fibra/Pintura</t>
  </si>
  <si>
    <t>Rollo</t>
  </si>
  <si>
    <t>REP-014</t>
  </si>
  <si>
    <t>Resina poliéster</t>
  </si>
  <si>
    <t>Galón</t>
  </si>
  <si>
    <t>REP-015</t>
  </si>
  <si>
    <t>Pintura esmalte para bus</t>
  </si>
  <si>
    <t>REP-016</t>
  </si>
  <si>
    <t>Masilla plástica</t>
  </si>
  <si>
    <t>Kg</t>
  </si>
  <si>
    <t>REP-017</t>
  </si>
  <si>
    <t>Panel lateral de fibra</t>
  </si>
  <si>
    <t>REP-018</t>
  </si>
  <si>
    <t>Parachoques delantero de fibra</t>
  </si>
  <si>
    <t>REP-019</t>
  </si>
  <si>
    <t>Amortiguador delantero</t>
  </si>
  <si>
    <t>Suspensión</t>
  </si>
  <si>
    <t>REP-020</t>
  </si>
  <si>
    <t>Balón neumático (fuelle)</t>
  </si>
  <si>
    <t>REP-021</t>
  </si>
  <si>
    <t>Bujes barra estabilizadora</t>
  </si>
  <si>
    <t>REP-022</t>
  </si>
  <si>
    <t>Hoja de ballesta</t>
  </si>
  <si>
    <t>REP-023</t>
  </si>
  <si>
    <t>Válvula de nivelación</t>
  </si>
  <si>
    <t>REP-024</t>
  </si>
  <si>
    <t>Kit pernos U de ballesta</t>
  </si>
  <si>
    <t>CONTROL OPERATIVO Y FINANCIERO · TALLER DE MANTENCIÓN Y REPARACIÓN DE BUSES</t>
  </si>
  <si>
    <t>Prototipo de portafolio · todos los datos son sintéticos y no corresponden a clientes reales</t>
  </si>
  <si>
    <t>1. PROPÓSITO</t>
  </si>
  <si>
    <t>Entregar a la gerencia de una pyme de mantención de buses una vista mensual de la operación (plazos, carga de trabajo, OT atrasadas) y de la rentabilidad (cobrable, costos directos y margen de contribución), y servir como muestra de modelamiento de datos y analítica de procesos.</t>
  </si>
  <si>
    <t>2. ESTRUCTURA DE HOJAS</t>
  </si>
  <si>
    <t>Instrucciones: esta hoja.
Maestro_Clientes (T_Clientes), Maestro_Tecnicos (T_Tecnicos), Maestro_Repuestos (T_Repuestos): catálogos de referencia.
Registro_OT (T_OrdenesTrabajo): una fila por orden de trabajo; incluye columnas calculadas (encabezado gris) que alimentan el Dashboard.
Detalle_OT (T_DetalleOT): líneas de repuestos y mano de obra de cada OT; de aquí salen costos y precios.
Dashboard: KPI, Top 5 de repuestos, alertas y gráficos.
Pruebas_Verificacion: matriz de pruebas con resultado esperado vs obtenido.</t>
  </si>
  <si>
    <t>3. CÓDIGO DE COLORES</t>
  </si>
  <si>
    <t>Texto azul sobre fondo amarillo claro: celdas que el usuario puede cambiar (filtros y fecha de corte del Dashboard).
Encabezados azul oscuro: datos que se ingresan. Encabezados gris: columnas con fórmulas, no editar.
Semáforo: rojo = crítico o margen negativo, ámbar = atención o margen bajo (menor a 15%), verde = saludable.</t>
  </si>
  <si>
    <t>4. USO DEL DASHBOARD</t>
  </si>
  <si>
    <t>Elegir Mes de ingreso, Tipo de servicio y Estado de OT en las celdas amarillas (listas desplegables). Los KPI, el Top 5 y los gráficos se recalculan. Las alertas son siempre globales.
Nota sobre segmentadores: este archivo usa listas desplegables porque la librería con que se generó no puede crear segmentadores nativos. Si se desean, en Excel: clic en la tabla T_OrdenesTrabajo &gt; Insertar &gt; Segmentación de datos.</t>
  </si>
  <si>
    <t>5. ACTUALIZACIÓN MENSUAL</t>
  </si>
  <si>
    <t>1) Agregar las nuevas OT al final de Registro_OT (la tabla se expande sola) y sus líneas al final de Detalle_OT. Completar solo las columnas con encabezado azul oscuro.
2) Copiar hacia abajo las fórmulas de las columnas de encabezado gris desde la última fila existente.
3) Si aparece un mes nuevo, agregarlo a la lista del filtro «Mes de ingreso» y a la tabla de apoyo de gráficos (columna O del Dashboard, a la derecha).
4) Cambiar la fecha de corte del Dashboard (o reemplazarla por =HOY()).
5) Revisar la hoja Pruebas_Verificacion: los valores esperados corresponden a los datos de ejemplo y deben ignorarse o recalcularse al cargar datos reales.</t>
  </si>
  <si>
    <t>6. REGLAS DEL MODELO</t>
  </si>
  <si>
    <t>Margen de contribución = Importe cobrable − (Costo materiales + Costo mano de obra).
OT abierta: estado En Curso o Reprogramada. OT atrasada activa: abierta con fecha de compromiso anterior a la fecha de corte.
Cumplimiento de plazos: OT con fecha de término menor o igual a la fecha de compromiso, sobre el total de OT con término.
Una línea de detalle sin costo o sin precio se valora en cero y se marca en Alerta_Dato para que no pase inadvertida.</t>
  </si>
  <si>
    <t>7. LIMITACIONES</t>
  </si>
  <si>
    <t>Es un prototipo de control operativo y financiero, no un ERP contable: no maneja inventario, IVA, costos indirectos, remuneraciones reales ni conciliación bancaria.
Los costos de mano de obra se ingresan como costo por hora por línea; no se calculan desde liquidaciones.
Las fórmulas usan INDEX/MATCH en lugar de BUSCARX para mantener compatibilidad con versiones anteriores de Excel.
Los datos son sintéticos: las cifras ilustran el funcionamiento del modelo, no un negocio real.</t>
  </si>
  <si>
    <t>8. EJEMPLO DE LECTURA</t>
  </si>
  <si>
    <t>Un margen en rojo en Registro_OT indica una OT cobrada bajo su costo (descuento, garantía o precio mal cargado). Revisar primero las OT con marca de dato incompleto, porque un precio faltante deprime artificialmente el margen.</t>
  </si>
  <si>
    <t>DASHBOARD DE CUADRE Y TRIANGULACIÓN · PRESUPUESTO - OC - FACTURA</t>
  </si>
  <si>
    <t>Auditoría de Descuadres entre Presupuesto de Taller, Orden de Compra de la Mandante y Factura Emitida</t>
  </si>
  <si>
    <t>Filtro Mes:</t>
  </si>
  <si>
    <t>Todos</t>
  </si>
  <si>
    <t>Filtro Cliente:</t>
  </si>
  <si>
    <t>Filtro Cuadre:</t>
  </si>
  <si>
    <t>Filtro Mecánico:</t>
  </si>
  <si>
    <t>1. VOLUMEN DE DOCUMENTOS Y ESTADO DE CUADRE (SEGÚN FILTROS SELECCIONADOS)</t>
  </si>
  <si>
    <t>TOTAL PRESUPUESTOS</t>
  </si>
  <si>
    <t>PRESUPUESTOS APROBADOS</t>
  </si>
  <si>
    <t>OCs RECIBIDAS MANDANTE</t>
  </si>
  <si>
    <t>OPERACIONES CUADRADAS</t>
  </si>
  <si>
    <t>DESCUADRES DETECTADOS</t>
  </si>
  <si>
    <t>2. MONTO FINANCIERO TOTAL ($) (PRESUPUESTADO vs. OC MANDANTE vs. FACTURADO)</t>
  </si>
  <si>
    <t>MONTO PRESUPUESTADO ($)</t>
  </si>
  <si>
    <t>MONTO OC MANDANTE ($)</t>
  </si>
  <si>
    <t>MONTO FACTURADO ($)</t>
  </si>
  <si>
    <t>GAP PRESUPUESTO vs. OC ($)</t>
  </si>
  <si>
    <t>PENDIENTE FACTURAR ($)</t>
  </si>
  <si>
    <t>3. MATRIZ DETALLADA DE TRIANGULACIÓN (ID PRESUPUESTO ➔ MECÁNICO ➔ ID OC ➔ ID FACTURA)</t>
  </si>
  <si>
    <t>ID OT</t>
  </si>
  <si>
    <t>Cliente</t>
  </si>
  <si>
    <t>Patente</t>
  </si>
  <si>
    <t>Mecánico Responsable</t>
  </si>
  <si>
    <t>ID Presupuesto</t>
  </si>
  <si>
    <t>Monto Presupuesto</t>
  </si>
  <si>
    <t>Estado Presupuesto</t>
  </si>
  <si>
    <t>ID OC Mandante</t>
  </si>
  <si>
    <t>Monto OC</t>
  </si>
  <si>
    <t>Estado OC</t>
  </si>
  <si>
    <t>ID Factura</t>
  </si>
  <si>
    <t>Monto Facturado</t>
  </si>
  <si>
    <t>Estado Cuadre 3-Way</t>
  </si>
  <si>
    <t>En Filtro</t>
  </si>
  <si>
    <t>DASHBOARD DE RENDIMIENTO Y PRODUCTIVIDAD DE MECÁNICOS / VENDEDORES</t>
  </si>
  <si>
    <t>Análisis comparativo de carga de trabajo, facturación generada por Ordenes de Compra/Facturas y aportes de margen por técnico/vendedor</t>
  </si>
  <si>
    <t>1. DESTACADOS DE PRODUCTIVIDAD Y FACTURACIÓN DEL TALLER</t>
  </si>
  <si>
    <t>MECÁNICO MÁS PRODUCTIVO</t>
  </si>
  <si>
    <t>MECÁNICO MAYOR FACTURACIÓN</t>
  </si>
  <si>
    <t>MAYOR MARGEN GENERADO</t>
  </si>
  <si>
    <t>OT</t>
  </si>
  <si>
    <t>Facturado</t>
  </si>
  <si>
    <t>2. MATRIZ COMPARATIVA DE MANTENCIONES Y FACTURACIÓN POR MECÁNICO / VENDEDOR</t>
  </si>
  <si>
    <t>Nombre Mecánico / Vendedor</t>
  </si>
  <si>
    <t>Especialidad</t>
  </si>
  <si>
    <t>Total OTs</t>
  </si>
  <si>
    <t>Preventivos</t>
  </si>
  <si>
    <t>Correctivos</t>
  </si>
  <si>
    <t>Siniestros</t>
  </si>
  <si>
    <t>Facturación Real (OC/Factura) ($)</t>
  </si>
  <si>
    <t>Margen Generado ($)</t>
  </si>
  <si>
    <t>% Aporte Margen Taller</t>
  </si>
  <si>
    <t>ID Técnico</t>
  </si>
  <si>
    <t>TOTALES TALLER</t>
  </si>
  <si>
    <t>DASHBOARD VISUAL DE GRÁFICOS · APORTE POR MECÁNICO Y EVOLUCIÓN MENSUAL</t>
  </si>
  <si>
    <t>Representación gráfica de la participación de facturación por mecánico y tendencia mensual de trabajo</t>
  </si>
  <si>
    <t>1. FACTURACIÓN MENSUAL TOTAL ($)</t>
  </si>
  <si>
    <t>Mes</t>
  </si>
  <si>
    <t>Monto Facturado ($)</t>
  </si>
  <si>
    <t>2026-05</t>
  </si>
  <si>
    <t>2026-06</t>
  </si>
  <si>
    <t>2026-07</t>
  </si>
  <si>
    <t>2026-08</t>
  </si>
  <si>
    <t>2026-09</t>
  </si>
  <si>
    <t>2026-10</t>
  </si>
  <si>
    <t>2. APORTE DE FACTURACIÓN POR MECÁNICO</t>
  </si>
  <si>
    <t>Mecánico</t>
  </si>
  <si>
    <t>ID_Cliente</t>
  </si>
  <si>
    <t>Nombre_Cliente</t>
  </si>
  <si>
    <t>Contacto</t>
  </si>
  <si>
    <t>CLI-001</t>
  </si>
  <si>
    <t>Buses Cordillera Ltda.</t>
  </si>
  <si>
    <t>Empresa de Transporte</t>
  </si>
  <si>
    <t>Rodrigo Silva · contacto1@ejemplo.cl · +56 9 5555 0100</t>
  </si>
  <si>
    <t>CLI-002</t>
  </si>
  <si>
    <t>Transportes Maipo SpA</t>
  </si>
  <si>
    <t>Carolina Vera · contacto2@ejemplo.cl · +56 9 5555 0101</t>
  </si>
  <si>
    <t>CLI-003</t>
  </si>
  <si>
    <t>Línea Los Pinos S.A.</t>
  </si>
  <si>
    <t>Miguel Ortiz · contacto3@ejemplo.cl · +56 9 5555 0102</t>
  </si>
  <si>
    <t>CLI-004</t>
  </si>
  <si>
    <t>Expreso Lo Espejo</t>
  </si>
  <si>
    <t>Paula Herrera · contacto4@ejemplo.cl · +56 9 5555 0103</t>
  </si>
  <si>
    <t>CLI-005</t>
  </si>
  <si>
    <t>Buses Rapel SpA</t>
  </si>
  <si>
    <t>Andrés Lagos · contacto5@ejemplo.cl · +56 9 5555 0104</t>
  </si>
  <si>
    <t>CLI-006</t>
  </si>
  <si>
    <t>Transportes Pacífico Sur</t>
  </si>
  <si>
    <t>Marcela Pino · contacto6@ejemplo.cl · +56 9 5555 0105</t>
  </si>
  <si>
    <t>CLI-007</t>
  </si>
  <si>
    <t>Inversiones Alto Jahuel</t>
  </si>
  <si>
    <t>Felipe Cárdenas · contacto7@ejemplo.cl · +56 9 5555 0106</t>
  </si>
  <si>
    <t>CLI-008</t>
  </si>
  <si>
    <t>Turismo Andes Sur</t>
  </si>
  <si>
    <t>Verónica Toro · contacto8@ejemplo.cl · +56 9 5555 0107</t>
  </si>
  <si>
    <t>CLI-009</t>
  </si>
  <si>
    <t>Buses Costa Verde Ltda.</t>
  </si>
  <si>
    <t>Ignacio Bravo · contacto9@ejemplo.cl · +56 9 5555 0108</t>
  </si>
  <si>
    <t>CLI-010</t>
  </si>
  <si>
    <t>Municipalidad Valle Norte</t>
  </si>
  <si>
    <t>Municipal</t>
  </si>
  <si>
    <t>Sandra Leiva · contacto10@ejemplo.cl · +56 9 5555 0109</t>
  </si>
  <si>
    <t>CLI-011</t>
  </si>
  <si>
    <t>Municipalidad Costa Sur</t>
  </si>
  <si>
    <t>Hugo Navarro · contacto11@ejemplo.cl · +56 9 5555 0110</t>
  </si>
  <si>
    <t>CLI-012</t>
  </si>
  <si>
    <t>Corporación Municipal de Educación Rinconada</t>
  </si>
  <si>
    <t>Lorena Campos · contacto12@ejemplo.cl · +56 9 5555 0111</t>
  </si>
  <si>
    <t>CLI-013</t>
  </si>
  <si>
    <t>Municipalidad Cerro Alto</t>
  </si>
  <si>
    <t>Iván Molina · contacto13@ejemplo.cl · +56 9 5555 0112</t>
  </si>
  <si>
    <t>CLI-014</t>
  </si>
  <si>
    <t>Club Deportivo Los Halcones</t>
  </si>
  <si>
    <t>Particular</t>
  </si>
  <si>
    <t>Tamara Fuentes · contacto14@ejemplo.cl · +56 9 5555 0113</t>
  </si>
  <si>
    <t>CLI-015</t>
  </si>
  <si>
    <t>Colegio San Anselmo</t>
  </si>
  <si>
    <t>Raúl Espinoza · contacto15@ejemplo.cl · +56 9 5555 0114</t>
  </si>
  <si>
    <t>CLI-016</t>
  </si>
  <si>
    <t>Juan Carlos Soto (bus escolar)</t>
  </si>
  <si>
    <t>Gloria Reyes · contacto16@ejemplo.cl · +56 9 5555 0115</t>
  </si>
  <si>
    <t>CLI-017</t>
  </si>
  <si>
    <t>Parroquia San Isidro (traslados)</t>
  </si>
  <si>
    <t>Óscar Peña · contacto17@ejemplo.cl · +56 9 5555 0116</t>
  </si>
  <si>
    <t>CLI-018</t>
  </si>
  <si>
    <t>Cooperativa Agrícola El Maitén</t>
  </si>
  <si>
    <t>Nancy Soto · contacto18@ejemplo.cl · +56 9 5555 0117</t>
  </si>
  <si>
    <t>ID_Tecnico</t>
  </si>
  <si>
    <t>Nombre_Tecnico</t>
  </si>
  <si>
    <t>TEC-01</t>
  </si>
  <si>
    <t>Marcelo Fuentes</t>
  </si>
  <si>
    <t>Mecánica General</t>
  </si>
  <si>
    <t>TEC-02</t>
  </si>
  <si>
    <t>Cristian Araya</t>
  </si>
  <si>
    <t>TEC-03</t>
  </si>
  <si>
    <t>Luis Contreras</t>
  </si>
  <si>
    <t>TEC-04</t>
  </si>
  <si>
    <t>Patricio Rojas</t>
  </si>
  <si>
    <t>Carrocería/Siniestros</t>
  </si>
  <si>
    <t>TEC-05</t>
  </si>
  <si>
    <t>Sergio Valdés</t>
  </si>
  <si>
    <t>TEC-06</t>
  </si>
  <si>
    <t>Daniela Mora</t>
  </si>
  <si>
    <t>TEC-07</t>
  </si>
  <si>
    <t>Héctor Pizarro</t>
  </si>
  <si>
    <t>Electricidad</t>
  </si>
  <si>
    <t>TEC-08</t>
  </si>
  <si>
    <t>Andrea Salinas</t>
  </si>
  <si>
    <t>ID_OT</t>
  </si>
  <si>
    <t>Patente_Bus</t>
  </si>
  <si>
    <t>Tipo_Servicio</t>
  </si>
  <si>
    <t>Fecha_Ingreso</t>
  </si>
  <si>
    <t>Fecha_Compromiso</t>
  </si>
  <si>
    <t>Fecha_Termino</t>
  </si>
  <si>
    <t>Responsable_OT</t>
  </si>
  <si>
    <t>Estado_OT</t>
  </si>
  <si>
    <t>ID_Presupuesto</t>
  </si>
  <si>
    <t>Fecha_Presupuesto</t>
  </si>
  <si>
    <t>Monto_Presupuesto</t>
  </si>
  <si>
    <t>Estado_Presupuesto</t>
  </si>
  <si>
    <t>ID_OC</t>
  </si>
  <si>
    <t>Fecha_OC</t>
  </si>
  <si>
    <t>Monto_OC</t>
  </si>
  <si>
    <t>Estado_OC</t>
  </si>
  <si>
    <t>ID_Factura</t>
  </si>
  <si>
    <t>Fecha_Factura</t>
  </si>
  <si>
    <t>Monto_Facturado</t>
  </si>
  <si>
    <t>Monto_Pagado</t>
  </si>
  <si>
    <t>Saldo_Pendiente</t>
  </si>
  <si>
    <t>Estado_Cuadre_3Way</t>
  </si>
  <si>
    <t>Monto_Total_Cobrable</t>
  </si>
  <si>
    <t>Costo_Materiales</t>
  </si>
  <si>
    <t>Costo_Mano_Obra</t>
  </si>
  <si>
    <t>Margen</t>
  </si>
  <si>
    <t>Margen_Pct</t>
  </si>
  <si>
    <t>Estado_Economico</t>
  </si>
  <si>
    <t>Mes_Ingreso</t>
  </si>
  <si>
    <t>Semana_Ingreso</t>
  </si>
  <si>
    <t>Dias_en_Taller</t>
  </si>
  <si>
    <t>Cumple_Plazo</t>
  </si>
  <si>
    <t>Atrasada_Activa</t>
  </si>
  <si>
    <t>Pend_OC</t>
  </si>
  <si>
    <t>Pend_Facturacion</t>
  </si>
  <si>
    <t>Dato_Incompleto</t>
  </si>
  <si>
    <t>En_Filtro</t>
  </si>
  <si>
    <t>En_Filtro_Mandante</t>
  </si>
  <si>
    <t>Seq_Atrasada</t>
  </si>
  <si>
    <t>Seq_Pend_Fact</t>
  </si>
  <si>
    <t>Seq_Incompleta</t>
  </si>
  <si>
    <t>OT-0001</t>
  </si>
  <si>
    <t>XSLT-12</t>
  </si>
  <si>
    <t>Preventivo</t>
  </si>
  <si>
    <t>Entregada</t>
  </si>
  <si>
    <t>PRES-1001</t>
  </si>
  <si>
    <t>Aprobado</t>
  </si>
  <si>
    <t>OC-5001</t>
  </si>
  <si>
    <t>Recibida</t>
  </si>
  <si>
    <t>FACT-3001</t>
  </si>
  <si>
    <t>OT-0002</t>
  </si>
  <si>
    <t>SKWX-95</t>
  </si>
  <si>
    <t>PRES-1002</t>
  </si>
  <si>
    <t>OC-5002</t>
  </si>
  <si>
    <t>FACT-3002</t>
  </si>
  <si>
    <t>OT-0003</t>
  </si>
  <si>
    <t>RCYD-42</t>
  </si>
  <si>
    <t>Terminada</t>
  </si>
  <si>
    <t>PRES-1003</t>
  </si>
  <si>
    <t>OC-5003</t>
  </si>
  <si>
    <t>OT-0004</t>
  </si>
  <si>
    <t>KZJV-65</t>
  </si>
  <si>
    <t>Siniestro/Carrocería</t>
  </si>
  <si>
    <t>PRES-1004</t>
  </si>
  <si>
    <t>OC-5004</t>
  </si>
  <si>
    <t>FACT-3004</t>
  </si>
  <si>
    <t>OT-0005</t>
  </si>
  <si>
    <t>JVSV-33</t>
  </si>
  <si>
    <t>Correctivo/Mecánica</t>
  </si>
  <si>
    <t>PRES-1005</t>
  </si>
  <si>
    <t>OC-5005</t>
  </si>
  <si>
    <t>FACT-3005</t>
  </si>
  <si>
    <t>OT-0006</t>
  </si>
  <si>
    <t>XYYK-56</t>
  </si>
  <si>
    <t>PRES-1006</t>
  </si>
  <si>
    <t>OC-5006</t>
  </si>
  <si>
    <t>FACT-3006</t>
  </si>
  <si>
    <t>OT-0007</t>
  </si>
  <si>
    <t>PZWS-75</t>
  </si>
  <si>
    <t>PRES-1007</t>
  </si>
  <si>
    <t>OC-5007</t>
  </si>
  <si>
    <t>FACT-3007</t>
  </si>
  <si>
    <t>OT-0008</t>
  </si>
  <si>
    <t>XPXS-10</t>
  </si>
  <si>
    <t>PRES-1008</t>
  </si>
  <si>
    <t>OC-5008</t>
  </si>
  <si>
    <t>FACT-3008</t>
  </si>
  <si>
    <t>OT-0009</t>
  </si>
  <si>
    <t>HYVX-61</t>
  </si>
  <si>
    <t>PRES-1009</t>
  </si>
  <si>
    <t>OC-5009</t>
  </si>
  <si>
    <t>FACT-3009</t>
  </si>
  <si>
    <t>OT-0010</t>
  </si>
  <si>
    <t>KPHK-22</t>
  </si>
  <si>
    <t>PRES-1010</t>
  </si>
  <si>
    <t>OC-5010</t>
  </si>
  <si>
    <t>FACT-3010</t>
  </si>
  <si>
    <t>OT-0011</t>
  </si>
  <si>
    <t>RFVZ-29</t>
  </si>
  <si>
    <t>PRES-1011</t>
  </si>
  <si>
    <t>OC-5011</t>
  </si>
  <si>
    <t>FACT-3011</t>
  </si>
  <si>
    <t>OT-0012</t>
  </si>
  <si>
    <t>FGXK-37</t>
  </si>
  <si>
    <t>PRES-1012</t>
  </si>
  <si>
    <t>OC-5012</t>
  </si>
  <si>
    <t>FACT-3012</t>
  </si>
  <si>
    <t>OT-0013</t>
  </si>
  <si>
    <t>XDFX-72</t>
  </si>
  <si>
    <t>PRES-1013</t>
  </si>
  <si>
    <t>OC-5013</t>
  </si>
  <si>
    <t>FACT-3013</t>
  </si>
  <si>
    <t>OT-0014</t>
  </si>
  <si>
    <t>HPXC-97</t>
  </si>
  <si>
    <t>PRES-1014</t>
  </si>
  <si>
    <t>OC-5014</t>
  </si>
  <si>
    <t>FACT-3014</t>
  </si>
  <si>
    <t>OT-0015</t>
  </si>
  <si>
    <t>DCTS-30</t>
  </si>
  <si>
    <t>Reprogramada</t>
  </si>
  <si>
    <t>PRES-1015</t>
  </si>
  <si>
    <t>OC-5015</t>
  </si>
  <si>
    <t>OT-0016</t>
  </si>
  <si>
    <t>ZCLP-77</t>
  </si>
  <si>
    <t>PRES-1016</t>
  </si>
  <si>
    <t>OC-5016</t>
  </si>
  <si>
    <t>FACT-3016</t>
  </si>
  <si>
    <t>OT-0017</t>
  </si>
  <si>
    <t>THLH-69</t>
  </si>
  <si>
    <t>PRES-1017</t>
  </si>
  <si>
    <t>OC-5017</t>
  </si>
  <si>
    <t>FACT-3017</t>
  </si>
  <si>
    <t>OT-0018</t>
  </si>
  <si>
    <t>DPRW-85</t>
  </si>
  <si>
    <t>PRES-1018</t>
  </si>
  <si>
    <t>OC-5018</t>
  </si>
  <si>
    <t>FACT-3018</t>
  </si>
  <si>
    <t>OT-0019</t>
  </si>
  <si>
    <t>SZBC-93</t>
  </si>
  <si>
    <t>PRES-1019</t>
  </si>
  <si>
    <t>OC-5019</t>
  </si>
  <si>
    <t>FACT-3019</t>
  </si>
  <si>
    <t>OT-0020</t>
  </si>
  <si>
    <t>FDFV-61</t>
  </si>
  <si>
    <t>PRES-1020</t>
  </si>
  <si>
    <t>OC-5020</t>
  </si>
  <si>
    <t>FACT-3020</t>
  </si>
  <si>
    <t>OT-0021</t>
  </si>
  <si>
    <t>VBBY-32</t>
  </si>
  <si>
    <t>PRES-1021</t>
  </si>
  <si>
    <t>OC-5021</t>
  </si>
  <si>
    <t>FACT-3021</t>
  </si>
  <si>
    <t>OT-0022</t>
  </si>
  <si>
    <t>GHWX-45</t>
  </si>
  <si>
    <t>PRES-1022</t>
  </si>
  <si>
    <t>OC-5022</t>
  </si>
  <si>
    <t>FACT-3022</t>
  </si>
  <si>
    <t>OT-0023</t>
  </si>
  <si>
    <t>HPZT-54</t>
  </si>
  <si>
    <t>PRES-1023</t>
  </si>
  <si>
    <t>OC-5023</t>
  </si>
  <si>
    <t>FACT-3023</t>
  </si>
  <si>
    <t>OT-0024</t>
  </si>
  <si>
    <t>XWRJ-13</t>
  </si>
  <si>
    <t>PRES-1024</t>
  </si>
  <si>
    <t>OC-5024</t>
  </si>
  <si>
    <t>FACT-3024</t>
  </si>
  <si>
    <t>OT-0025</t>
  </si>
  <si>
    <t>GKZY-80</t>
  </si>
  <si>
    <t>PRES-1025</t>
  </si>
  <si>
    <t>OC-5025</t>
  </si>
  <si>
    <t>FACT-3025</t>
  </si>
  <si>
    <t>OT-0026</t>
  </si>
  <si>
    <t>RWGW-23</t>
  </si>
  <si>
    <t>PRES-1026</t>
  </si>
  <si>
    <t>OC-5026</t>
  </si>
  <si>
    <t>FACT-3026</t>
  </si>
  <si>
    <t>OT-0027</t>
  </si>
  <si>
    <t>YRJH-91</t>
  </si>
  <si>
    <t>PRES-1027</t>
  </si>
  <si>
    <t>OC-5027</t>
  </si>
  <si>
    <t>FACT-3027</t>
  </si>
  <si>
    <t>OT-0028</t>
  </si>
  <si>
    <t>KJYZ-42</t>
  </si>
  <si>
    <t>PRES-1028</t>
  </si>
  <si>
    <t>OC-5028</t>
  </si>
  <si>
    <t>FACT-3028</t>
  </si>
  <si>
    <t>OT-0029</t>
  </si>
  <si>
    <t>YKDS-78</t>
  </si>
  <si>
    <t>PRES-1029</t>
  </si>
  <si>
    <t>OC-5029</t>
  </si>
  <si>
    <t>FACT-3029</t>
  </si>
  <si>
    <t>OT-0030</t>
  </si>
  <si>
    <t>FGHR-79</t>
  </si>
  <si>
    <t>PRES-1030</t>
  </si>
  <si>
    <t>OC-5030</t>
  </si>
  <si>
    <t>FACT-3030</t>
  </si>
  <si>
    <t>OT-0031</t>
  </si>
  <si>
    <t>BPXG-45</t>
  </si>
  <si>
    <t>PRES-1031</t>
  </si>
  <si>
    <t>OC-5031</t>
  </si>
  <si>
    <t>FACT-3031</t>
  </si>
  <si>
    <t>OT-0032</t>
  </si>
  <si>
    <t>YBZF-90</t>
  </si>
  <si>
    <t>PRES-1032</t>
  </si>
  <si>
    <t>OC-5032</t>
  </si>
  <si>
    <t>FACT-3032</t>
  </si>
  <si>
    <t>OT-0033</t>
  </si>
  <si>
    <t>LTSB-28</t>
  </si>
  <si>
    <t>PRES-1033</t>
  </si>
  <si>
    <t>OC-5033</t>
  </si>
  <si>
    <t>FACT-3033</t>
  </si>
  <si>
    <t>OT-0034</t>
  </si>
  <si>
    <t>WTHH-65</t>
  </si>
  <si>
    <t>PRES-1034</t>
  </si>
  <si>
    <t>OC-5034</t>
  </si>
  <si>
    <t>FACT-3034</t>
  </si>
  <si>
    <t>OT-0035</t>
  </si>
  <si>
    <t>XWJW-59</t>
  </si>
  <si>
    <t>PRES-1035</t>
  </si>
  <si>
    <t>OC-5035</t>
  </si>
  <si>
    <t>FACT-3035</t>
  </si>
  <si>
    <t>OT-0036</t>
  </si>
  <si>
    <t>FZSK-81</t>
  </si>
  <si>
    <t>PRES-1036</t>
  </si>
  <si>
    <t>Pendiente Emisión Mandante</t>
  </si>
  <si>
    <t>OT-0037</t>
  </si>
  <si>
    <t>ZKCC-61</t>
  </si>
  <si>
    <t>PRES-1037</t>
  </si>
  <si>
    <t>OC-5037</t>
  </si>
  <si>
    <t>FACT-3037</t>
  </si>
  <si>
    <t>OT-0038</t>
  </si>
  <si>
    <t>VXLB-53</t>
  </si>
  <si>
    <t>PRES-1038</t>
  </si>
  <si>
    <t>OC-5038</t>
  </si>
  <si>
    <t>FACT-3038</t>
  </si>
  <si>
    <t>OT-0039</t>
  </si>
  <si>
    <t>LJGY-17</t>
  </si>
  <si>
    <t>PRES-1039</t>
  </si>
  <si>
    <t>OC-5039</t>
  </si>
  <si>
    <t>FACT-3039</t>
  </si>
  <si>
    <t>OT-0040</t>
  </si>
  <si>
    <t>DGLZ-97</t>
  </si>
  <si>
    <t>PRES-1040</t>
  </si>
  <si>
    <t>OC-5040</t>
  </si>
  <si>
    <t>FACT-3040</t>
  </si>
  <si>
    <t>OT-0041</t>
  </si>
  <si>
    <t>YKBP-22</t>
  </si>
  <si>
    <t>PRES-1041</t>
  </si>
  <si>
    <t>OC-5041</t>
  </si>
  <si>
    <t>FACT-3041</t>
  </si>
  <si>
    <t>OT-0042</t>
  </si>
  <si>
    <t>CSFY-44</t>
  </si>
  <si>
    <t>PRES-1042</t>
  </si>
  <si>
    <t>OC-5042</t>
  </si>
  <si>
    <t>FACT-3042</t>
  </si>
  <si>
    <t>OT-0043</t>
  </si>
  <si>
    <t>RGDP-37</t>
  </si>
  <si>
    <t>PRES-1043</t>
  </si>
  <si>
    <t>OC-5043</t>
  </si>
  <si>
    <t>FACT-3043</t>
  </si>
  <si>
    <t>OT-0044</t>
  </si>
  <si>
    <t>SYSL-42</t>
  </si>
  <si>
    <t>PRES-1044</t>
  </si>
  <si>
    <t>OC-5044</t>
  </si>
  <si>
    <t>FACT-3044</t>
  </si>
  <si>
    <t>OT-0045</t>
  </si>
  <si>
    <t>JXLB-86</t>
  </si>
  <si>
    <t>PRES-1045</t>
  </si>
  <si>
    <t>OT-0046</t>
  </si>
  <si>
    <t>CRFS-41</t>
  </si>
  <si>
    <t>PRES-1046</t>
  </si>
  <si>
    <t>OC-5046</t>
  </si>
  <si>
    <t>FACT-3046</t>
  </si>
  <si>
    <t>OT-0047</t>
  </si>
  <si>
    <t>DTVW-45</t>
  </si>
  <si>
    <t>PRES-1047</t>
  </si>
  <si>
    <t>OC-5047</t>
  </si>
  <si>
    <t>FACT-3047</t>
  </si>
  <si>
    <t>OT-0048</t>
  </si>
  <si>
    <t>KSXC-85</t>
  </si>
  <si>
    <t>PRES-1048</t>
  </si>
  <si>
    <t>OC-5048</t>
  </si>
  <si>
    <t>FACT-3048</t>
  </si>
  <si>
    <t>OT-0049</t>
  </si>
  <si>
    <t>SVJS-17</t>
  </si>
  <si>
    <t>PRES-1049</t>
  </si>
  <si>
    <t>OC-5049</t>
  </si>
  <si>
    <t>FACT-3049</t>
  </si>
  <si>
    <t>OT-0050</t>
  </si>
  <si>
    <t>YPZD-40</t>
  </si>
  <si>
    <t>PRES-1050</t>
  </si>
  <si>
    <t>OC-5050</t>
  </si>
  <si>
    <t>FACT-3050</t>
  </si>
  <si>
    <t>OT-0051</t>
  </si>
  <si>
    <t>YJTS-91</t>
  </si>
  <si>
    <t>PRES-1051</t>
  </si>
  <si>
    <t>OC-5051</t>
  </si>
  <si>
    <t>FACT-3051</t>
  </si>
  <si>
    <t>OT-0052</t>
  </si>
  <si>
    <t>PYHG-48</t>
  </si>
  <si>
    <t>PRES-1052</t>
  </si>
  <si>
    <t>OC-5052</t>
  </si>
  <si>
    <t>FACT-3052</t>
  </si>
  <si>
    <t>OT-0053</t>
  </si>
  <si>
    <t>JWBR-46</t>
  </si>
  <si>
    <t>PRES-1053</t>
  </si>
  <si>
    <t>OC-5053</t>
  </si>
  <si>
    <t>FACT-3053</t>
  </si>
  <si>
    <t>OT-0054</t>
  </si>
  <si>
    <t>BVXG-76</t>
  </si>
  <si>
    <t>PRES-1054</t>
  </si>
  <si>
    <t>OT-0055</t>
  </si>
  <si>
    <t>ZHJH-31</t>
  </si>
  <si>
    <t>PRES-1055</t>
  </si>
  <si>
    <t>OC-5055</t>
  </si>
  <si>
    <t>FACT-3055</t>
  </si>
  <si>
    <t>OT-0056</t>
  </si>
  <si>
    <t>HJKV-56</t>
  </si>
  <si>
    <t>PRES-1056</t>
  </si>
  <si>
    <t>OC-5056</t>
  </si>
  <si>
    <t>FACT-3056</t>
  </si>
  <si>
    <t>OT-0057</t>
  </si>
  <si>
    <t>XSFH-53</t>
  </si>
  <si>
    <t>PRES-1057</t>
  </si>
  <si>
    <t>OC-5057</t>
  </si>
  <si>
    <t>FACT-3057</t>
  </si>
  <si>
    <t>OT-0058</t>
  </si>
  <si>
    <t>RLPF-61</t>
  </si>
  <si>
    <t>PRES-1058</t>
  </si>
  <si>
    <t>OC-5058</t>
  </si>
  <si>
    <t>FACT-3058</t>
  </si>
  <si>
    <t>OT-0059</t>
  </si>
  <si>
    <t>YFPS-99</t>
  </si>
  <si>
    <t>PRES-1059</t>
  </si>
  <si>
    <t>OC-5059</t>
  </si>
  <si>
    <t>FACT-3059</t>
  </si>
  <si>
    <t>OT-0060</t>
  </si>
  <si>
    <t>PJYS-17</t>
  </si>
  <si>
    <t>PRES-1060</t>
  </si>
  <si>
    <t>OC-5060</t>
  </si>
  <si>
    <t>FACT-3060</t>
  </si>
  <si>
    <t>OT-0061</t>
  </si>
  <si>
    <t>PYBV-29</t>
  </si>
  <si>
    <t>PRES-1061</t>
  </si>
  <si>
    <t>OC-5061</t>
  </si>
  <si>
    <t>FACT-3061</t>
  </si>
  <si>
    <t>OT-0062</t>
  </si>
  <si>
    <t>SFRD-79</t>
  </si>
  <si>
    <t>PRES-1062</t>
  </si>
  <si>
    <t>OC-5062</t>
  </si>
  <si>
    <t>FACT-3062</t>
  </si>
  <si>
    <t>OT-0063</t>
  </si>
  <si>
    <t>WTWL-98</t>
  </si>
  <si>
    <t>PRES-1063</t>
  </si>
  <si>
    <t>OC-5063</t>
  </si>
  <si>
    <t>FACT-3063</t>
  </si>
  <si>
    <t>OT-0064</t>
  </si>
  <si>
    <t>DCZJ-61</t>
  </si>
  <si>
    <t>En Curso</t>
  </si>
  <si>
    <t>PRES-1064</t>
  </si>
  <si>
    <t>OC-5064</t>
  </si>
  <si>
    <t>OT-0065</t>
  </si>
  <si>
    <t>HGLL-75</t>
  </si>
  <si>
    <t>PRES-1065</t>
  </si>
  <si>
    <t>OC-5065</t>
  </si>
  <si>
    <t>FACT-3065</t>
  </si>
  <si>
    <t>OT-0066</t>
  </si>
  <si>
    <t>GLCZ-73</t>
  </si>
  <si>
    <t>PRES-1066</t>
  </si>
  <si>
    <t>OC-5066</t>
  </si>
  <si>
    <t>FACT-3066</t>
  </si>
  <si>
    <t>OT-0067</t>
  </si>
  <si>
    <t>FKPB-74</t>
  </si>
  <si>
    <t>PRES-1067</t>
  </si>
  <si>
    <t>OC-5067</t>
  </si>
  <si>
    <t>FACT-3067</t>
  </si>
  <si>
    <t>OT-0068</t>
  </si>
  <si>
    <t>KZKL-63</t>
  </si>
  <si>
    <t>PRES-1068</t>
  </si>
  <si>
    <t>OC-5068</t>
  </si>
  <si>
    <t>FACT-3068</t>
  </si>
  <si>
    <t>OT-0069</t>
  </si>
  <si>
    <t>BLZP-92</t>
  </si>
  <si>
    <t>PRES-1069</t>
  </si>
  <si>
    <t>OC-5069</t>
  </si>
  <si>
    <t>FACT-3069</t>
  </si>
  <si>
    <t>OT-0070</t>
  </si>
  <si>
    <t>LPYZ-21</t>
  </si>
  <si>
    <t>PRES-1070</t>
  </si>
  <si>
    <t>OC-5070</t>
  </si>
  <si>
    <t>FACT-3070</t>
  </si>
  <si>
    <t>OT-0071</t>
  </si>
  <si>
    <t>KBFF-21</t>
  </si>
  <si>
    <t>PRES-1071</t>
  </si>
  <si>
    <t>OC-5071</t>
  </si>
  <si>
    <t>FACT-3071</t>
  </si>
  <si>
    <t>OT-0072</t>
  </si>
  <si>
    <t>YJHP-79</t>
  </si>
  <si>
    <t>PRES-1072</t>
  </si>
  <si>
    <t>OC-5072</t>
  </si>
  <si>
    <t>FACT-3072</t>
  </si>
  <si>
    <t>OT-0073</t>
  </si>
  <si>
    <t>GVXF-60</t>
  </si>
  <si>
    <t>PRES-1073</t>
  </si>
  <si>
    <t>OC-5073</t>
  </si>
  <si>
    <t>FACT-3073</t>
  </si>
  <si>
    <t>OT-0074</t>
  </si>
  <si>
    <t>CGZJ-32</t>
  </si>
  <si>
    <t>PRES-1074</t>
  </si>
  <si>
    <t>OC-5074</t>
  </si>
  <si>
    <t>FACT-3074</t>
  </si>
  <si>
    <t>OT-0075</t>
  </si>
  <si>
    <t>HZXG-39</t>
  </si>
  <si>
    <t>PRES-1075</t>
  </si>
  <si>
    <t>OC-5075</t>
  </si>
  <si>
    <t>FACT-3075</t>
  </si>
  <si>
    <t>OT-0076</t>
  </si>
  <si>
    <t>YLCK-24</t>
  </si>
  <si>
    <t>PRES-1076</t>
  </si>
  <si>
    <t>OC-5076</t>
  </si>
  <si>
    <t>FACT-3076</t>
  </si>
  <si>
    <t>OT-0077</t>
  </si>
  <si>
    <t>FZHS-90</t>
  </si>
  <si>
    <t>PRES-1077</t>
  </si>
  <si>
    <t>OC-5077</t>
  </si>
  <si>
    <t>FACT-3077</t>
  </si>
  <si>
    <t>OT-0078</t>
  </si>
  <si>
    <t>PDYH-68</t>
  </si>
  <si>
    <t>PRES-1078</t>
  </si>
  <si>
    <t>OC-5078</t>
  </si>
  <si>
    <t>FACT-3078</t>
  </si>
  <si>
    <t>OT-0079</t>
  </si>
  <si>
    <t>FHHR-83</t>
  </si>
  <si>
    <t>PRES-1079</t>
  </si>
  <si>
    <t>OC-5079</t>
  </si>
  <si>
    <t>FACT-3079</t>
  </si>
  <si>
    <t>OT-0080</t>
  </si>
  <si>
    <t>SYWS-99</t>
  </si>
  <si>
    <t>PRES-1080</t>
  </si>
  <si>
    <t>OC-5080</t>
  </si>
  <si>
    <t>FACT-3080</t>
  </si>
  <si>
    <t>OT-0081</t>
  </si>
  <si>
    <t>GBDV-75</t>
  </si>
  <si>
    <t>PRES-1081</t>
  </si>
  <si>
    <t>OC-5081</t>
  </si>
  <si>
    <t>FACT-3081</t>
  </si>
  <si>
    <t>OT-0082</t>
  </si>
  <si>
    <t>VSLC-16</t>
  </si>
  <si>
    <t>PRES-1082</t>
  </si>
  <si>
    <t>OC-5082</t>
  </si>
  <si>
    <t>FACT-3082</t>
  </si>
  <si>
    <t>OT-0083</t>
  </si>
  <si>
    <t>FZPW-37</t>
  </si>
  <si>
    <t>PRES-1083</t>
  </si>
  <si>
    <t>OC-5083</t>
  </si>
  <si>
    <t>FACT-3083</t>
  </si>
  <si>
    <t>OT-0084</t>
  </si>
  <si>
    <t>VHFH-75</t>
  </si>
  <si>
    <t>PRES-1084</t>
  </si>
  <si>
    <t>OC-5084</t>
  </si>
  <si>
    <t>FACT-3084</t>
  </si>
  <si>
    <t>OT-0085</t>
  </si>
  <si>
    <t>TJZV-63</t>
  </si>
  <si>
    <t>PRES-1085</t>
  </si>
  <si>
    <t>OC-5085</t>
  </si>
  <si>
    <t>FACT-3085</t>
  </si>
  <si>
    <t>OT-0086</t>
  </si>
  <si>
    <t>YVFG-49</t>
  </si>
  <si>
    <t>PRES-1086</t>
  </si>
  <si>
    <t>OC-5086</t>
  </si>
  <si>
    <t>FACT-3086</t>
  </si>
  <si>
    <t>OT-0087</t>
  </si>
  <si>
    <t>BHDW-82</t>
  </si>
  <si>
    <t>PRES-1087</t>
  </si>
  <si>
    <t>OC-5087</t>
  </si>
  <si>
    <t>OT-0088</t>
  </si>
  <si>
    <t>SCCS-46</t>
  </si>
  <si>
    <t>PRES-1088</t>
  </si>
  <si>
    <t>OC-5088</t>
  </si>
  <si>
    <t>FACT-3088</t>
  </si>
  <si>
    <t>OT-0089</t>
  </si>
  <si>
    <t>PVBW-70</t>
  </si>
  <si>
    <t>PRES-1089</t>
  </si>
  <si>
    <t>OC-5089</t>
  </si>
  <si>
    <t>FACT-3089</t>
  </si>
  <si>
    <t>OT-0090</t>
  </si>
  <si>
    <t>YZHT-60</t>
  </si>
  <si>
    <t>PRES-1090</t>
  </si>
  <si>
    <t>OC-5090</t>
  </si>
  <si>
    <t>FACT-3090</t>
  </si>
  <si>
    <t>OT-0091</t>
  </si>
  <si>
    <t>GWCV-69</t>
  </si>
  <si>
    <t>PRES-1091</t>
  </si>
  <si>
    <t>OC-5091</t>
  </si>
  <si>
    <t>FACT-3091</t>
  </si>
  <si>
    <t>OT-0092</t>
  </si>
  <si>
    <t>VBLH-45</t>
  </si>
  <si>
    <t>PRES-1092</t>
  </si>
  <si>
    <t>OC-5092</t>
  </si>
  <si>
    <t>FACT-3092</t>
  </si>
  <si>
    <t>OT-0093</t>
  </si>
  <si>
    <t>RXGF-37</t>
  </si>
  <si>
    <t>PRES-1093</t>
  </si>
  <si>
    <t>OC-5093</t>
  </si>
  <si>
    <t>FACT-3093</t>
  </si>
  <si>
    <t>OT-0094</t>
  </si>
  <si>
    <t>RJLC-20</t>
  </si>
  <si>
    <t>PRES-1094</t>
  </si>
  <si>
    <t>OC-5094</t>
  </si>
  <si>
    <t>FACT-3094</t>
  </si>
  <si>
    <t>OT-0095</t>
  </si>
  <si>
    <t>FGDG-32</t>
  </si>
  <si>
    <t>PRES-1095</t>
  </si>
  <si>
    <t>OC-5095</t>
  </si>
  <si>
    <t>FACT-3095</t>
  </si>
  <si>
    <t>OT-0096</t>
  </si>
  <si>
    <t>FPRB-94</t>
  </si>
  <si>
    <t>PRES-1096</t>
  </si>
  <si>
    <t>OC-5096</t>
  </si>
  <si>
    <t>FACT-3096</t>
  </si>
  <si>
    <t>OT-0097</t>
  </si>
  <si>
    <t>CFFL-57</t>
  </si>
  <si>
    <t>PRES-1097</t>
  </si>
  <si>
    <t>OC-5097</t>
  </si>
  <si>
    <t>FACT-3097</t>
  </si>
  <si>
    <t>OT-0098</t>
  </si>
  <si>
    <t>GWVV-51</t>
  </si>
  <si>
    <t>PRES-1098</t>
  </si>
  <si>
    <t>OC-5098</t>
  </si>
  <si>
    <t>OT-0099</t>
  </si>
  <si>
    <t>RPGJ-90</t>
  </si>
  <si>
    <t>PRES-1099</t>
  </si>
  <si>
    <t>OC-5099</t>
  </si>
  <si>
    <t>FACT-3099</t>
  </si>
  <si>
    <t>OT-0100</t>
  </si>
  <si>
    <t>SGFT-61</t>
  </si>
  <si>
    <t>PRES-1100</t>
  </si>
  <si>
    <t>OC-5100</t>
  </si>
  <si>
    <t>FACT-3100</t>
  </si>
  <si>
    <t>OT-0101</t>
  </si>
  <si>
    <t>KVHY-74</t>
  </si>
  <si>
    <t>PRES-1101</t>
  </si>
  <si>
    <t>OC-5101</t>
  </si>
  <si>
    <t>FACT-3101</t>
  </si>
  <si>
    <t>OT-0102</t>
  </si>
  <si>
    <t>YDCZ-59</t>
  </si>
  <si>
    <t>PRES-1102</t>
  </si>
  <si>
    <t>OC-5102</t>
  </si>
  <si>
    <t>FACT-3102</t>
  </si>
  <si>
    <t>OT-0103</t>
  </si>
  <si>
    <t>STHZ-29</t>
  </si>
  <si>
    <t>PRES-1103</t>
  </si>
  <si>
    <t>OC-5103</t>
  </si>
  <si>
    <t>FACT-3103</t>
  </si>
  <si>
    <t>OT-0104</t>
  </si>
  <si>
    <t>CTHT-58</t>
  </si>
  <si>
    <t>PRES-1104</t>
  </si>
  <si>
    <t>OC-5104</t>
  </si>
  <si>
    <t>FACT-3104</t>
  </si>
  <si>
    <t>OT-0105</t>
  </si>
  <si>
    <t>VYYX-35</t>
  </si>
  <si>
    <t>PRES-1105</t>
  </si>
  <si>
    <t>OC-5105</t>
  </si>
  <si>
    <t>FACT-3105</t>
  </si>
  <si>
    <t>OT-0106</t>
  </si>
  <si>
    <t>XDFV-14</t>
  </si>
  <si>
    <t>PRES-1106</t>
  </si>
  <si>
    <t>OC-5106</t>
  </si>
  <si>
    <t>FACT-3106</t>
  </si>
  <si>
    <t>OT-0107</t>
  </si>
  <si>
    <t>HTCP-28</t>
  </si>
  <si>
    <t>PRES-1107</t>
  </si>
  <si>
    <t>OC-5107</t>
  </si>
  <si>
    <t>OT-0108</t>
  </si>
  <si>
    <t>FRVX-66</t>
  </si>
  <si>
    <t>PRES-1108</t>
  </si>
  <si>
    <t>OC-5108</t>
  </si>
  <si>
    <t>FACT-3108</t>
  </si>
  <si>
    <t>OT-0109</t>
  </si>
  <si>
    <t>KTJH-57</t>
  </si>
  <si>
    <t>PRES-1109</t>
  </si>
  <si>
    <t>OC-5109</t>
  </si>
  <si>
    <t>OT-0110</t>
  </si>
  <si>
    <t>HVKZ-95</t>
  </si>
  <si>
    <t>PRES-1110</t>
  </si>
  <si>
    <t>OC-5110</t>
  </si>
  <si>
    <t>FACT-3110</t>
  </si>
  <si>
    <t>OT-0111</t>
  </si>
  <si>
    <t>XWTV-65</t>
  </si>
  <si>
    <t>PRES-1111</t>
  </si>
  <si>
    <t>OC-5111</t>
  </si>
  <si>
    <t>FACT-3111</t>
  </si>
  <si>
    <t>OT-0112</t>
  </si>
  <si>
    <t>DXKX-24</t>
  </si>
  <si>
    <t>PRES-1112</t>
  </si>
  <si>
    <t>OC-5112</t>
  </si>
  <si>
    <t>FACT-3112</t>
  </si>
  <si>
    <t>OT-0113</t>
  </si>
  <si>
    <t>RJKY-57</t>
  </si>
  <si>
    <t>PRES-1113</t>
  </si>
  <si>
    <t>OC-5113</t>
  </si>
  <si>
    <t>FACT-3113</t>
  </si>
  <si>
    <t>OT-0114</t>
  </si>
  <si>
    <t>RJVR-24</t>
  </si>
  <si>
    <t>PRES-1114</t>
  </si>
  <si>
    <t>OC-5114</t>
  </si>
  <si>
    <t>FACT-3114</t>
  </si>
  <si>
    <t>OT-0115</t>
  </si>
  <si>
    <t>CFLD-34</t>
  </si>
  <si>
    <t>PRES-1115</t>
  </si>
  <si>
    <t>OC-5115</t>
  </si>
  <si>
    <t>OT-0116</t>
  </si>
  <si>
    <t>LJPY-44</t>
  </si>
  <si>
    <t>PRES-1116</t>
  </si>
  <si>
    <t>OC-5116</t>
  </si>
  <si>
    <t>OT-0117</t>
  </si>
  <si>
    <t>KDWY-35</t>
  </si>
  <si>
    <t>PRES-1117</t>
  </si>
  <si>
    <t>OC-5117</t>
  </si>
  <si>
    <t>FACT-3117</t>
  </si>
  <si>
    <t>OT-0118</t>
  </si>
  <si>
    <t>WZGT-76</t>
  </si>
  <si>
    <t>PRES-1118</t>
  </si>
  <si>
    <t>OC-5118</t>
  </si>
  <si>
    <t>FACT-3118</t>
  </si>
  <si>
    <t>OT-0119</t>
  </si>
  <si>
    <t>KJTY-26</t>
  </si>
  <si>
    <t>PRES-1119</t>
  </si>
  <si>
    <t>OC-5119</t>
  </si>
  <si>
    <t>FACT-3119</t>
  </si>
  <si>
    <t>OT-0120</t>
  </si>
  <si>
    <t>RKLK-19</t>
  </si>
  <si>
    <t>PRES-1120</t>
  </si>
  <si>
    <t>OC-5120</t>
  </si>
  <si>
    <t>FACT-3120</t>
  </si>
  <si>
    <t>OT-0121</t>
  </si>
  <si>
    <t>FJGX-68</t>
  </si>
  <si>
    <t>PRES-1121</t>
  </si>
  <si>
    <t>OC-5121</t>
  </si>
  <si>
    <t>FACT-3121</t>
  </si>
  <si>
    <t>OT-0122</t>
  </si>
  <si>
    <t>WZPP-50</t>
  </si>
  <si>
    <t>PRES-1122</t>
  </si>
  <si>
    <t>OC-5122</t>
  </si>
  <si>
    <t>FACT-3122</t>
  </si>
  <si>
    <t>OT-0123</t>
  </si>
  <si>
    <t>PLBJ-28</t>
  </si>
  <si>
    <t>PRES-1123</t>
  </si>
  <si>
    <t>OC-5123</t>
  </si>
  <si>
    <t>FACT-3123</t>
  </si>
  <si>
    <t>OT-0124</t>
  </si>
  <si>
    <t>KYRV-58</t>
  </si>
  <si>
    <t>PRES-1124</t>
  </si>
  <si>
    <t>OC-5124</t>
  </si>
  <si>
    <t>FACT-3124</t>
  </si>
  <si>
    <t>OT-0125</t>
  </si>
  <si>
    <t>VVSP-84</t>
  </si>
  <si>
    <t>PRES-1125</t>
  </si>
  <si>
    <t>OC-5125</t>
  </si>
  <si>
    <t>FACT-3125</t>
  </si>
  <si>
    <t>OT-0126</t>
  </si>
  <si>
    <t>BFVS-94</t>
  </si>
  <si>
    <t>PRES-1126</t>
  </si>
  <si>
    <t>OC-5126</t>
  </si>
  <si>
    <t>FACT-3126</t>
  </si>
  <si>
    <t>OT-0127</t>
  </si>
  <si>
    <t>LJLF-26</t>
  </si>
  <si>
    <t>PRES-1127</t>
  </si>
  <si>
    <t>OC-5127</t>
  </si>
  <si>
    <t>FACT-3127</t>
  </si>
  <si>
    <t>OT-0128</t>
  </si>
  <si>
    <t>HWXT-20</t>
  </si>
  <si>
    <t>PRES-1128</t>
  </si>
  <si>
    <t>OC-5128</t>
  </si>
  <si>
    <t>FACT-3128</t>
  </si>
  <si>
    <t>OT-0129</t>
  </si>
  <si>
    <t>HVLT-33</t>
  </si>
  <si>
    <t>PRES-1129</t>
  </si>
  <si>
    <t>OC-5129</t>
  </si>
  <si>
    <t>FACT-3129</t>
  </si>
  <si>
    <t>OT-0130</t>
  </si>
  <si>
    <t>YFDR-92</t>
  </si>
  <si>
    <t>PRES-1130</t>
  </si>
  <si>
    <t>OC-5130</t>
  </si>
  <si>
    <t>FACT-3130</t>
  </si>
  <si>
    <t>OT-0131</t>
  </si>
  <si>
    <t>YVJC-14</t>
  </si>
  <si>
    <t>PRES-1131</t>
  </si>
  <si>
    <t>OC-5131</t>
  </si>
  <si>
    <t>FACT-3131</t>
  </si>
  <si>
    <t>OT-0132</t>
  </si>
  <si>
    <t>BBYC-90</t>
  </si>
  <si>
    <t>PRES-1132</t>
  </si>
  <si>
    <t>Pendiente</t>
  </si>
  <si>
    <t>Sin OC</t>
  </si>
  <si>
    <t>OT-0133</t>
  </si>
  <si>
    <t>TDKC-17</t>
  </si>
  <si>
    <t>PRES-1133</t>
  </si>
  <si>
    <t>OC-5133</t>
  </si>
  <si>
    <t>FACT-3133</t>
  </si>
  <si>
    <t>OT-0134</t>
  </si>
  <si>
    <t>ZXHS-43</t>
  </si>
  <si>
    <t>PRES-1134</t>
  </si>
  <si>
    <t>OC-5134</t>
  </si>
  <si>
    <t>FACT-3134</t>
  </si>
  <si>
    <t>OT-0135</t>
  </si>
  <si>
    <t>YCSL-57</t>
  </si>
  <si>
    <t>PRES-1135</t>
  </si>
  <si>
    <t>OC-5135</t>
  </si>
  <si>
    <t>FACT-3135</t>
  </si>
  <si>
    <t>OT-0136</t>
  </si>
  <si>
    <t>ZRXB-18</t>
  </si>
  <si>
    <t>PRES-1136</t>
  </si>
  <si>
    <t>OC-5136</t>
  </si>
  <si>
    <t>FACT-3136</t>
  </si>
  <si>
    <t>OT-0137</t>
  </si>
  <si>
    <t>HZTY-87</t>
  </si>
  <si>
    <t>PRES-1137</t>
  </si>
  <si>
    <t>OC-5137</t>
  </si>
  <si>
    <t>OT-0138</t>
  </si>
  <si>
    <t>GFYJ-96</t>
  </si>
  <si>
    <t>PRES-1138</t>
  </si>
  <si>
    <t>OC-5138</t>
  </si>
  <si>
    <t>FACT-3138</t>
  </si>
  <si>
    <t>OT-0139</t>
  </si>
  <si>
    <t>FPVG-71</t>
  </si>
  <si>
    <t>PRES-1139</t>
  </si>
  <si>
    <t>OC-5139</t>
  </si>
  <si>
    <t>FACT-3139</t>
  </si>
  <si>
    <t>OT-0140</t>
  </si>
  <si>
    <t>WTTD-78</t>
  </si>
  <si>
    <t>PRES-1140</t>
  </si>
  <si>
    <t>OC-5140</t>
  </si>
  <si>
    <t>FACT-3140</t>
  </si>
  <si>
    <t>OT-0141</t>
  </si>
  <si>
    <t>RWBB-77</t>
  </si>
  <si>
    <t>PRES-1141</t>
  </si>
  <si>
    <t>OC-5141</t>
  </si>
  <si>
    <t>FACT-3141</t>
  </si>
  <si>
    <t>OT-0142</t>
  </si>
  <si>
    <t>HLGK-16</t>
  </si>
  <si>
    <t>PRES-1142</t>
  </si>
  <si>
    <t>OC-5142</t>
  </si>
  <si>
    <t>FACT-3142</t>
  </si>
  <si>
    <t>OT-0143</t>
  </si>
  <si>
    <t>XHYT-63</t>
  </si>
  <si>
    <t>PRES-1143</t>
  </si>
  <si>
    <t>OC-5143</t>
  </si>
  <si>
    <t>FACT-3143</t>
  </si>
  <si>
    <t>OT-0144</t>
  </si>
  <si>
    <t>CXLP-69</t>
  </si>
  <si>
    <t>PRES-1144</t>
  </si>
  <si>
    <t>OC-5144</t>
  </si>
  <si>
    <t>FACT-3144</t>
  </si>
  <si>
    <t>OT-0145</t>
  </si>
  <si>
    <t>XBKZ-17</t>
  </si>
  <si>
    <t>PRES-1145</t>
  </si>
  <si>
    <t>OC-5145</t>
  </si>
  <si>
    <t>FACT-3145</t>
  </si>
  <si>
    <t>OT-0146</t>
  </si>
  <si>
    <t>BKPX-65</t>
  </si>
  <si>
    <t>PRES-1146</t>
  </si>
  <si>
    <t>OC-5146</t>
  </si>
  <si>
    <t>FACT-3146</t>
  </si>
  <si>
    <t>OT-0147</t>
  </si>
  <si>
    <t>LJBR-55</t>
  </si>
  <si>
    <t>PRES-1147</t>
  </si>
  <si>
    <t>OC-5147</t>
  </si>
  <si>
    <t>FACT-3147</t>
  </si>
  <si>
    <t>OT-0148</t>
  </si>
  <si>
    <t>VGKV-61</t>
  </si>
  <si>
    <t>PRES-1148</t>
  </si>
  <si>
    <t>OC-5148</t>
  </si>
  <si>
    <t>FACT-3148</t>
  </si>
  <si>
    <t>OT-0149</t>
  </si>
  <si>
    <t>WJKW-90</t>
  </si>
  <si>
    <t>PRES-1149</t>
  </si>
  <si>
    <t>OC-5149</t>
  </si>
  <si>
    <t>OT-0150</t>
  </si>
  <si>
    <t>BZZJ-88</t>
  </si>
  <si>
    <t>PRES-1150</t>
  </si>
  <si>
    <t>OC-5150</t>
  </si>
  <si>
    <t>FACT-3150</t>
  </si>
  <si>
    <t>OT-0151</t>
  </si>
  <si>
    <t>FHLX-25</t>
  </si>
  <si>
    <t>PRES-1151</t>
  </si>
  <si>
    <t>OC-5151</t>
  </si>
  <si>
    <t>FACT-3151</t>
  </si>
  <si>
    <t>OT-0152</t>
  </si>
  <si>
    <t>BWZZ-19</t>
  </si>
  <si>
    <t>PRES-1152</t>
  </si>
  <si>
    <t>OC-5152</t>
  </si>
  <si>
    <t>FACT-3152</t>
  </si>
  <si>
    <t>OT-0153</t>
  </si>
  <si>
    <t>GSPR-86</t>
  </si>
  <si>
    <t>PRES-1153</t>
  </si>
  <si>
    <t>OC-5153</t>
  </si>
  <si>
    <t>FACT-3153</t>
  </si>
  <si>
    <t>OT-0154</t>
  </si>
  <si>
    <t>ZBCT-94</t>
  </si>
  <si>
    <t>PRES-1154</t>
  </si>
  <si>
    <t>OC-5154</t>
  </si>
  <si>
    <t>FACT-3154</t>
  </si>
  <si>
    <t>OT-0155</t>
  </si>
  <si>
    <t>TSJK-38</t>
  </si>
  <si>
    <t>PRES-1155</t>
  </si>
  <si>
    <t>OC-5155</t>
  </si>
  <si>
    <t>FACT-3155</t>
  </si>
  <si>
    <t>OT-0156</t>
  </si>
  <si>
    <t>FZCL-44</t>
  </si>
  <si>
    <t>PRES-1156</t>
  </si>
  <si>
    <t>OC-5156</t>
  </si>
  <si>
    <t>FACT-3156</t>
  </si>
  <si>
    <t>OT-0157</t>
  </si>
  <si>
    <t>CXJY-38</t>
  </si>
  <si>
    <t>PRES-1157</t>
  </si>
  <si>
    <t>OC-5157</t>
  </si>
  <si>
    <t>FACT-3157</t>
  </si>
  <si>
    <t>OT-0158</t>
  </si>
  <si>
    <t>RDYX-86</t>
  </si>
  <si>
    <t>PRES-1158</t>
  </si>
  <si>
    <t>OC-5158</t>
  </si>
  <si>
    <t>FACT-3158</t>
  </si>
  <si>
    <t>OT-0159</t>
  </si>
  <si>
    <t>HHSL-48</t>
  </si>
  <si>
    <t>PRES-1159</t>
  </si>
  <si>
    <t>OC-5159</t>
  </si>
  <si>
    <t>OT-0160</t>
  </si>
  <si>
    <t>TLDR-88</t>
  </si>
  <si>
    <t>PRES-1160</t>
  </si>
  <si>
    <t>OC-5160</t>
  </si>
  <si>
    <t>FACT-3160</t>
  </si>
  <si>
    <t>OT-0161</t>
  </si>
  <si>
    <t>LZCD-12</t>
  </si>
  <si>
    <t>PRES-1161</t>
  </si>
  <si>
    <t>OC-5161</t>
  </si>
  <si>
    <t>FACT-3161</t>
  </si>
  <si>
    <t>OT-0162</t>
  </si>
  <si>
    <t>VFZR-14</t>
  </si>
  <si>
    <t>PRES-1162</t>
  </si>
  <si>
    <t>OC-5162</t>
  </si>
  <si>
    <t>FACT-3162</t>
  </si>
  <si>
    <t>OT-0163</t>
  </si>
  <si>
    <t>GPZC-44</t>
  </si>
  <si>
    <t>PRES-1163</t>
  </si>
  <si>
    <t>OC-5163</t>
  </si>
  <si>
    <t>FACT-3163</t>
  </si>
  <si>
    <t>OT-0164</t>
  </si>
  <si>
    <t>DJYW-22</t>
  </si>
  <si>
    <t>PRES-1164</t>
  </si>
  <si>
    <t>OC-5164</t>
  </si>
  <si>
    <t>FACT-3164</t>
  </si>
  <si>
    <t>OT-0165</t>
  </si>
  <si>
    <t>SKSX-53</t>
  </si>
  <si>
    <t>PRES-1165</t>
  </si>
  <si>
    <t>OC-5165</t>
  </si>
  <si>
    <t>OT-0166</t>
  </si>
  <si>
    <t>GYTH-65</t>
  </si>
  <si>
    <t>PRES-1166</t>
  </si>
  <si>
    <t>OC-5166</t>
  </si>
  <si>
    <t>FACT-3166</t>
  </si>
  <si>
    <t>OT-0167</t>
  </si>
  <si>
    <t>JBSB-61</t>
  </si>
  <si>
    <t>PRES-1167</t>
  </si>
  <si>
    <t>OC-5167</t>
  </si>
  <si>
    <t>OT-0168</t>
  </si>
  <si>
    <t>TKDY-30</t>
  </si>
  <si>
    <t>PRES-1168</t>
  </si>
  <si>
    <t>OC-5168</t>
  </si>
  <si>
    <t>FACT-3168</t>
  </si>
  <si>
    <t>OT-0169</t>
  </si>
  <si>
    <t>SFBJ-83</t>
  </si>
  <si>
    <t>PRES-1169</t>
  </si>
  <si>
    <t>OC-5169</t>
  </si>
  <si>
    <t>OT-0170</t>
  </si>
  <si>
    <t>CPFF-45</t>
  </si>
  <si>
    <t>PRES-1170</t>
  </si>
  <si>
    <t>OC-5170</t>
  </si>
  <si>
    <t>FACT-3170</t>
  </si>
  <si>
    <t>OT-0171</t>
  </si>
  <si>
    <t>SPJG-50</t>
  </si>
  <si>
    <t>PRES-1171</t>
  </si>
  <si>
    <t>OT-0172</t>
  </si>
  <si>
    <t>ZTHJ-23</t>
  </si>
  <si>
    <t>PRES-1172</t>
  </si>
  <si>
    <t>OC-5172</t>
  </si>
  <si>
    <t>FACT-3172</t>
  </si>
  <si>
    <t>OT-0173</t>
  </si>
  <si>
    <t>KTDZ-50</t>
  </si>
  <si>
    <t>PRES-1173</t>
  </si>
  <si>
    <t>OC-5173</t>
  </si>
  <si>
    <t>FACT-3173</t>
  </si>
  <si>
    <t>OT-0174</t>
  </si>
  <si>
    <t>SWDT-80</t>
  </si>
  <si>
    <t>PRES-1174</t>
  </si>
  <si>
    <t>OC-5174</t>
  </si>
  <si>
    <t>FACT-3174</t>
  </si>
  <si>
    <t>OT-0175</t>
  </si>
  <si>
    <t>LRWP-21</t>
  </si>
  <si>
    <t>PRES-1175</t>
  </si>
  <si>
    <t>OC-5175</t>
  </si>
  <si>
    <t>OT-0176</t>
  </si>
  <si>
    <t>TCKP-77</t>
  </si>
  <si>
    <t>PRES-1176</t>
  </si>
  <si>
    <t>Rechazado</t>
  </si>
  <si>
    <t>OT-0177</t>
  </si>
  <si>
    <t>BFPR-19</t>
  </si>
  <si>
    <t>PRES-1177</t>
  </si>
  <si>
    <t>OC-5177</t>
  </si>
  <si>
    <t>OT-0178</t>
  </si>
  <si>
    <t>ZGRJ-62</t>
  </si>
  <si>
    <t>PRES-1178</t>
  </si>
  <si>
    <t>OC-5178</t>
  </si>
  <si>
    <t>OT-0179</t>
  </si>
  <si>
    <t>RDXL-99</t>
  </si>
  <si>
    <t>PRES-1179</t>
  </si>
  <si>
    <t>OC-5179</t>
  </si>
  <si>
    <t>OT-0180</t>
  </si>
  <si>
    <t>HSLY-32</t>
  </si>
  <si>
    <t>PRES-1180</t>
  </si>
  <si>
    <t>ID_Detalle</t>
  </si>
  <si>
    <t>Tipo_Concepto</t>
  </si>
  <si>
    <t>ID_Repuesto_o_Tecnico</t>
  </si>
  <si>
    <t>Cantidad_o_Horas</t>
  </si>
  <si>
    <t>Costo_Unitario</t>
  </si>
  <si>
    <t>Precio_Cobrado_Unitario</t>
  </si>
  <si>
    <t>Costo_Total</t>
  </si>
  <si>
    <t>Precio_Total</t>
  </si>
  <si>
    <t>Alerta_Dato</t>
  </si>
  <si>
    <t>DET-00001</t>
  </si>
  <si>
    <t>Repuesto</t>
  </si>
  <si>
    <t>DET-00002</t>
  </si>
  <si>
    <t>DET-00003</t>
  </si>
  <si>
    <t>Mano de Obra</t>
  </si>
  <si>
    <t>DET-00004</t>
  </si>
  <si>
    <t>DET-00005</t>
  </si>
  <si>
    <t>DET-00006</t>
  </si>
  <si>
    <t>DET-00007</t>
  </si>
  <si>
    <t>DET-00008</t>
  </si>
  <si>
    <t>DET-00009</t>
  </si>
  <si>
    <t>DET-00010</t>
  </si>
  <si>
    <t>DET-00011</t>
  </si>
  <si>
    <t>DET-00012</t>
  </si>
  <si>
    <t>DET-00013</t>
  </si>
  <si>
    <t>DET-00014</t>
  </si>
  <si>
    <t>DET-00015</t>
  </si>
  <si>
    <t>DET-00016</t>
  </si>
  <si>
    <t>DET-00017</t>
  </si>
  <si>
    <t>DET-00018</t>
  </si>
  <si>
    <t>DET-00019</t>
  </si>
  <si>
    <t>DET-00020</t>
  </si>
  <si>
    <t>DET-00021</t>
  </si>
  <si>
    <t>DET-00022</t>
  </si>
  <si>
    <t>DET-00023</t>
  </si>
  <si>
    <t>DET-00024</t>
  </si>
  <si>
    <t>DET-00025</t>
  </si>
  <si>
    <t>DET-00026</t>
  </si>
  <si>
    <t>DET-00027</t>
  </si>
  <si>
    <t>DET-00028</t>
  </si>
  <si>
    <t>DET-00029</t>
  </si>
  <si>
    <t>DET-00030</t>
  </si>
  <si>
    <t>DET-00031</t>
  </si>
  <si>
    <t>DET-00032</t>
  </si>
  <si>
    <t>DET-00033</t>
  </si>
  <si>
    <t>DET-00034</t>
  </si>
  <si>
    <t>DET-00035</t>
  </si>
  <si>
    <t>DET-00036</t>
  </si>
  <si>
    <t>DET-00037</t>
  </si>
  <si>
    <t>DET-00038</t>
  </si>
  <si>
    <t>DET-00039</t>
  </si>
  <si>
    <t>DET-00040</t>
  </si>
  <si>
    <t>DET-00041</t>
  </si>
  <si>
    <t>DET-00042</t>
  </si>
  <si>
    <t>DET-00043</t>
  </si>
  <si>
    <t>DET-00044</t>
  </si>
  <si>
    <t>DET-00045</t>
  </si>
  <si>
    <t>DET-00046</t>
  </si>
  <si>
    <t>DET-00047</t>
  </si>
  <si>
    <t>DET-00048</t>
  </si>
  <si>
    <t>DET-00049</t>
  </si>
  <si>
    <t>DET-00050</t>
  </si>
  <si>
    <t>DET-00051</t>
  </si>
  <si>
    <t>DET-00052</t>
  </si>
  <si>
    <t>DET-00053</t>
  </si>
  <si>
    <t>DET-00054</t>
  </si>
  <si>
    <t>DET-00055</t>
  </si>
  <si>
    <t>DET-00056</t>
  </si>
  <si>
    <t>DET-00057</t>
  </si>
  <si>
    <t>DET-00058</t>
  </si>
  <si>
    <t>DET-00059</t>
  </si>
  <si>
    <t>DET-00060</t>
  </si>
  <si>
    <t>DET-00061</t>
  </si>
  <si>
    <t>DET-00062</t>
  </si>
  <si>
    <t>DET-00063</t>
  </si>
  <si>
    <t>DET-00064</t>
  </si>
  <si>
    <t>DET-00065</t>
  </si>
  <si>
    <t>DET-00066</t>
  </si>
  <si>
    <t>DET-00067</t>
  </si>
  <si>
    <t>DET-00068</t>
  </si>
  <si>
    <t>DET-00069</t>
  </si>
  <si>
    <t>DET-00070</t>
  </si>
  <si>
    <t>DET-00071</t>
  </si>
  <si>
    <t>DET-00072</t>
  </si>
  <si>
    <t>DET-00073</t>
  </si>
  <si>
    <t>DET-00074</t>
  </si>
  <si>
    <t>DET-00075</t>
  </si>
  <si>
    <t>DET-00076</t>
  </si>
  <si>
    <t>DET-00077</t>
  </si>
  <si>
    <t>DET-00078</t>
  </si>
  <si>
    <t>DET-00079</t>
  </si>
  <si>
    <t>DET-00080</t>
  </si>
  <si>
    <t>DET-00081</t>
  </si>
  <si>
    <t>DET-00082</t>
  </si>
  <si>
    <t>DET-00083</t>
  </si>
  <si>
    <t>DET-00084</t>
  </si>
  <si>
    <t>DET-00085</t>
  </si>
  <si>
    <t>DET-00086</t>
  </si>
  <si>
    <t>DET-00087</t>
  </si>
  <si>
    <t>DET-00088</t>
  </si>
  <si>
    <t>DET-00089</t>
  </si>
  <si>
    <t>DET-00090</t>
  </si>
  <si>
    <t>DET-00091</t>
  </si>
  <si>
    <t>DET-00092</t>
  </si>
  <si>
    <t>DET-00093</t>
  </si>
  <si>
    <t>DET-00094</t>
  </si>
  <si>
    <t>DET-00095</t>
  </si>
  <si>
    <t>DET-00096</t>
  </si>
  <si>
    <t>DET-00097</t>
  </si>
  <si>
    <t>DET-00098</t>
  </si>
  <si>
    <t>DET-00099</t>
  </si>
  <si>
    <t>DET-00100</t>
  </si>
  <si>
    <t>DET-00101</t>
  </si>
  <si>
    <t>DET-00102</t>
  </si>
  <si>
    <t>DET-00103</t>
  </si>
  <si>
    <t>DET-00104</t>
  </si>
  <si>
    <t>DET-00105</t>
  </si>
  <si>
    <t>DET-00106</t>
  </si>
  <si>
    <t>DET-00107</t>
  </si>
  <si>
    <t>DET-00108</t>
  </si>
  <si>
    <t>DET-00109</t>
  </si>
  <si>
    <t>DET-00110</t>
  </si>
  <si>
    <t>DET-00111</t>
  </si>
  <si>
    <t>DET-00112</t>
  </si>
  <si>
    <t>DET-00113</t>
  </si>
  <si>
    <t>DET-00114</t>
  </si>
  <si>
    <t>DET-00115</t>
  </si>
  <si>
    <t>DET-00116</t>
  </si>
  <si>
    <t>DET-00117</t>
  </si>
  <si>
    <t>DET-00118</t>
  </si>
  <si>
    <t>DET-00119</t>
  </si>
  <si>
    <t>DET-00120</t>
  </si>
  <si>
    <t>DET-00121</t>
  </si>
  <si>
    <t>DET-00122</t>
  </si>
  <si>
    <t>DET-00123</t>
  </si>
  <si>
    <t>DET-00124</t>
  </si>
  <si>
    <t>DET-00125</t>
  </si>
  <si>
    <t>DET-00126</t>
  </si>
  <si>
    <t>DET-00127</t>
  </si>
  <si>
    <t>DET-00128</t>
  </si>
  <si>
    <t>DET-00129</t>
  </si>
  <si>
    <t>DET-00130</t>
  </si>
  <si>
    <t>DET-00131</t>
  </si>
  <si>
    <t>DET-00132</t>
  </si>
  <si>
    <t>DET-00133</t>
  </si>
  <si>
    <t>DET-00134</t>
  </si>
  <si>
    <t>DET-00135</t>
  </si>
  <si>
    <t>DET-00136</t>
  </si>
  <si>
    <t>DET-00137</t>
  </si>
  <si>
    <t>DET-00138</t>
  </si>
  <si>
    <t>DET-00139</t>
  </si>
  <si>
    <t>DET-00140</t>
  </si>
  <si>
    <t>DET-00141</t>
  </si>
  <si>
    <t>DET-00142</t>
  </si>
  <si>
    <t>DET-00143</t>
  </si>
  <si>
    <t>DET-00144</t>
  </si>
  <si>
    <t>DET-00145</t>
  </si>
  <si>
    <t>DET-00146</t>
  </si>
  <si>
    <t>DET-00147</t>
  </si>
  <si>
    <t>DET-00148</t>
  </si>
  <si>
    <t>DET-00149</t>
  </si>
  <si>
    <t>DET-00150</t>
  </si>
  <si>
    <t>DET-00151</t>
  </si>
  <si>
    <t>DET-00152</t>
  </si>
  <si>
    <t>DET-00153</t>
  </si>
  <si>
    <t>DET-00154</t>
  </si>
  <si>
    <t>DET-00155</t>
  </si>
  <si>
    <t>DET-00156</t>
  </si>
  <si>
    <t>DET-00157</t>
  </si>
  <si>
    <t>DET-00158</t>
  </si>
  <si>
    <t>DET-00159</t>
  </si>
  <si>
    <t>DET-00160</t>
  </si>
  <si>
    <t>DET-00161</t>
  </si>
  <si>
    <t>DET-00162</t>
  </si>
  <si>
    <t>DET-00163</t>
  </si>
  <si>
    <t>DET-00164</t>
  </si>
  <si>
    <t>DET-00165</t>
  </si>
  <si>
    <t>DET-00166</t>
  </si>
  <si>
    <t>DET-00167</t>
  </si>
  <si>
    <t>DET-00168</t>
  </si>
  <si>
    <t>DET-00169</t>
  </si>
  <si>
    <t>DET-00170</t>
  </si>
  <si>
    <t>DET-00171</t>
  </si>
  <si>
    <t>DET-00172</t>
  </si>
  <si>
    <t>DET-00173</t>
  </si>
  <si>
    <t>DET-00174</t>
  </si>
  <si>
    <t>DET-00175</t>
  </si>
  <si>
    <t>DET-00176</t>
  </si>
  <si>
    <t>DET-00177</t>
  </si>
  <si>
    <t>DET-00178</t>
  </si>
  <si>
    <t>DET-00179</t>
  </si>
  <si>
    <t>DET-00180</t>
  </si>
  <si>
    <t>DET-00181</t>
  </si>
  <si>
    <t>DET-00182</t>
  </si>
  <si>
    <t>DET-00183</t>
  </si>
  <si>
    <t>DET-00184</t>
  </si>
  <si>
    <t>DET-00185</t>
  </si>
  <si>
    <t>DET-00186</t>
  </si>
  <si>
    <t>DET-00187</t>
  </si>
  <si>
    <t>DET-00188</t>
  </si>
  <si>
    <t>DET-00189</t>
  </si>
  <si>
    <t>DET-00190</t>
  </si>
  <si>
    <t>DET-00191</t>
  </si>
  <si>
    <t>DET-00192</t>
  </si>
  <si>
    <t>DET-00193</t>
  </si>
  <si>
    <t>DET-00194</t>
  </si>
  <si>
    <t>DET-00195</t>
  </si>
  <si>
    <t>DET-00196</t>
  </si>
  <si>
    <t>DET-00197</t>
  </si>
  <si>
    <t>DET-00198</t>
  </si>
  <si>
    <t>DET-00199</t>
  </si>
  <si>
    <t>DET-00200</t>
  </si>
  <si>
    <t>DET-00201</t>
  </si>
  <si>
    <t>DET-00202</t>
  </si>
  <si>
    <t>DET-00203</t>
  </si>
  <si>
    <t>DET-00204</t>
  </si>
  <si>
    <t>DET-00205</t>
  </si>
  <si>
    <t>DET-00206</t>
  </si>
  <si>
    <t>DET-00207</t>
  </si>
  <si>
    <t>DET-00208</t>
  </si>
  <si>
    <t>DET-00209</t>
  </si>
  <si>
    <t>DET-00210</t>
  </si>
  <si>
    <t>DET-00211</t>
  </si>
  <si>
    <t>DET-00212</t>
  </si>
  <si>
    <t>DET-00213</t>
  </si>
  <si>
    <t>DET-00214</t>
  </si>
  <si>
    <t>DET-00215</t>
  </si>
  <si>
    <t>DET-00216</t>
  </si>
  <si>
    <t>DET-00217</t>
  </si>
  <si>
    <t>DET-00218</t>
  </si>
  <si>
    <t>DET-00219</t>
  </si>
  <si>
    <t>DET-00220</t>
  </si>
  <si>
    <t>DET-00221</t>
  </si>
  <si>
    <t>DET-00222</t>
  </si>
  <si>
    <t>DET-00223</t>
  </si>
  <si>
    <t>DET-00224</t>
  </si>
  <si>
    <t>DET-00225</t>
  </si>
  <si>
    <t>DET-00226</t>
  </si>
  <si>
    <t>DET-00227</t>
  </si>
  <si>
    <t>DET-00228</t>
  </si>
  <si>
    <t>DET-00229</t>
  </si>
  <si>
    <t>DET-00230</t>
  </si>
  <si>
    <t>DET-00231</t>
  </si>
  <si>
    <t>DET-00232</t>
  </si>
  <si>
    <t>DET-00233</t>
  </si>
  <si>
    <t>DET-00234</t>
  </si>
  <si>
    <t>DET-00235</t>
  </si>
  <si>
    <t>DET-00236</t>
  </si>
  <si>
    <t>DET-00237</t>
  </si>
  <si>
    <t>DET-00238</t>
  </si>
  <si>
    <t>DET-00239</t>
  </si>
  <si>
    <t>DET-00240</t>
  </si>
  <si>
    <t>DET-00241</t>
  </si>
  <si>
    <t>DET-00242</t>
  </si>
  <si>
    <t>DET-00243</t>
  </si>
  <si>
    <t>DET-00244</t>
  </si>
  <si>
    <t>DET-00245</t>
  </si>
  <si>
    <t>DET-00246</t>
  </si>
  <si>
    <t>DET-00247</t>
  </si>
  <si>
    <t>DET-00248</t>
  </si>
  <si>
    <t>DET-00249</t>
  </si>
  <si>
    <t>DET-00250</t>
  </si>
  <si>
    <t>DET-00251</t>
  </si>
  <si>
    <t>DET-00252</t>
  </si>
  <si>
    <t>DET-00253</t>
  </si>
  <si>
    <t>DET-00254</t>
  </si>
  <si>
    <t>DET-00255</t>
  </si>
  <si>
    <t>DET-00256</t>
  </si>
  <si>
    <t>DET-00257</t>
  </si>
  <si>
    <t>DET-00258</t>
  </si>
  <si>
    <t>DET-00259</t>
  </si>
  <si>
    <t>DET-00260</t>
  </si>
  <si>
    <t>DET-00261</t>
  </si>
  <si>
    <t>DET-00262</t>
  </si>
  <si>
    <t>DET-00263</t>
  </si>
  <si>
    <t>DET-00264</t>
  </si>
  <si>
    <t>DET-00265</t>
  </si>
  <si>
    <t>DET-00266</t>
  </si>
  <si>
    <t>DET-00267</t>
  </si>
  <si>
    <t>DET-00268</t>
  </si>
  <si>
    <t>DET-00269</t>
  </si>
  <si>
    <t>DET-00270</t>
  </si>
  <si>
    <t>DET-00271</t>
  </si>
  <si>
    <t>DET-00272</t>
  </si>
  <si>
    <t>DET-00273</t>
  </si>
  <si>
    <t>DET-00274</t>
  </si>
  <si>
    <t>DET-00275</t>
  </si>
  <si>
    <t>DET-00276</t>
  </si>
  <si>
    <t>DET-00277</t>
  </si>
  <si>
    <t>DET-00278</t>
  </si>
  <si>
    <t>DET-00279</t>
  </si>
  <si>
    <t>DET-00280</t>
  </si>
  <si>
    <t>DET-00281</t>
  </si>
  <si>
    <t>DET-00282</t>
  </si>
  <si>
    <t>DET-00283</t>
  </si>
  <si>
    <t>DET-00284</t>
  </si>
  <si>
    <t>DET-00285</t>
  </si>
  <si>
    <t>DET-00286</t>
  </si>
  <si>
    <t>DET-00287</t>
  </si>
  <si>
    <t>DET-00288</t>
  </si>
  <si>
    <t>DET-00289</t>
  </si>
  <si>
    <t>DET-00290</t>
  </si>
  <si>
    <t>DET-00291</t>
  </si>
  <si>
    <t>DET-00292</t>
  </si>
  <si>
    <t>DET-00293</t>
  </si>
  <si>
    <t>DET-00294</t>
  </si>
  <si>
    <t>DET-00295</t>
  </si>
  <si>
    <t>DET-00296</t>
  </si>
  <si>
    <t>DET-00297</t>
  </si>
  <si>
    <t>DET-00298</t>
  </si>
  <si>
    <t>DET-00299</t>
  </si>
  <si>
    <t>DET-00300</t>
  </si>
  <si>
    <t>DET-00301</t>
  </si>
  <si>
    <t>DET-00302</t>
  </si>
  <si>
    <t>DET-00303</t>
  </si>
  <si>
    <t>DET-00304</t>
  </si>
  <si>
    <t>DET-00305</t>
  </si>
  <si>
    <t>DET-00306</t>
  </si>
  <si>
    <t>DET-00307</t>
  </si>
  <si>
    <t>DET-00308</t>
  </si>
  <si>
    <t>DET-00309</t>
  </si>
  <si>
    <t>DET-00310</t>
  </si>
  <si>
    <t>DET-00311</t>
  </si>
  <si>
    <t>DET-00312</t>
  </si>
  <si>
    <t>DET-00313</t>
  </si>
  <si>
    <t>DET-00314</t>
  </si>
  <si>
    <t>DET-00315</t>
  </si>
  <si>
    <t>DET-00316</t>
  </si>
  <si>
    <t>DET-00317</t>
  </si>
  <si>
    <t>DET-00318</t>
  </si>
  <si>
    <t>DET-00319</t>
  </si>
  <si>
    <t>DET-00320</t>
  </si>
  <si>
    <t>DET-00321</t>
  </si>
  <si>
    <t>DET-00322</t>
  </si>
  <si>
    <t>DET-00323</t>
  </si>
  <si>
    <t>DET-00324</t>
  </si>
  <si>
    <t>DET-00325</t>
  </si>
  <si>
    <t>DET-00326</t>
  </si>
  <si>
    <t>DET-00327</t>
  </si>
  <si>
    <t>DET-00328</t>
  </si>
  <si>
    <t>DET-00329</t>
  </si>
  <si>
    <t>DET-00330</t>
  </si>
  <si>
    <t>DET-00331</t>
  </si>
  <si>
    <t>DET-00332</t>
  </si>
  <si>
    <t>DET-00333</t>
  </si>
  <si>
    <t>DET-00334</t>
  </si>
  <si>
    <t>DET-00335</t>
  </si>
  <si>
    <t>DET-00336</t>
  </si>
  <si>
    <t>DET-00337</t>
  </si>
  <si>
    <t>DET-00338</t>
  </si>
  <si>
    <t>DET-00339</t>
  </si>
  <si>
    <t>DET-00340</t>
  </si>
  <si>
    <t>DET-00341</t>
  </si>
  <si>
    <t>DET-00342</t>
  </si>
  <si>
    <t>DET-00343</t>
  </si>
  <si>
    <t>DET-00344</t>
  </si>
  <si>
    <t>DET-00345</t>
  </si>
  <si>
    <t>DET-00346</t>
  </si>
  <si>
    <t>DET-00347</t>
  </si>
  <si>
    <t>DET-00348</t>
  </si>
  <si>
    <t>DET-00349</t>
  </si>
  <si>
    <t>DET-00350</t>
  </si>
  <si>
    <t>DET-00351</t>
  </si>
  <si>
    <t>DET-00352</t>
  </si>
  <si>
    <t>DET-00353</t>
  </si>
  <si>
    <t>DET-00354</t>
  </si>
  <si>
    <t>DET-00355</t>
  </si>
  <si>
    <t>DET-00356</t>
  </si>
  <si>
    <t>DET-00357</t>
  </si>
  <si>
    <t>DET-00358</t>
  </si>
  <si>
    <t>DET-00359</t>
  </si>
  <si>
    <t>DET-00360</t>
  </si>
  <si>
    <t>DET-00361</t>
  </si>
  <si>
    <t>DET-00362</t>
  </si>
  <si>
    <t>DET-00363</t>
  </si>
  <si>
    <t>DET-00364</t>
  </si>
  <si>
    <t>DET-00365</t>
  </si>
  <si>
    <t>DET-00366</t>
  </si>
  <si>
    <t>DET-00367</t>
  </si>
  <si>
    <t>DET-00368</t>
  </si>
  <si>
    <t>DET-00369</t>
  </si>
  <si>
    <t>DET-00370</t>
  </si>
  <si>
    <t>DET-00371</t>
  </si>
  <si>
    <t>DET-00372</t>
  </si>
  <si>
    <t>DET-00373</t>
  </si>
  <si>
    <t>DET-00374</t>
  </si>
  <si>
    <t>DET-00375</t>
  </si>
  <si>
    <t>DET-00376</t>
  </si>
  <si>
    <t>DET-00377</t>
  </si>
  <si>
    <t>DET-00378</t>
  </si>
  <si>
    <t>DET-00379</t>
  </si>
  <si>
    <t>DET-00380</t>
  </si>
  <si>
    <t>DET-00381</t>
  </si>
  <si>
    <t>DET-00382</t>
  </si>
  <si>
    <t>DET-00383</t>
  </si>
  <si>
    <t>DET-00384</t>
  </si>
  <si>
    <t>DET-00385</t>
  </si>
  <si>
    <t>DET-00386</t>
  </si>
  <si>
    <t>DET-00387</t>
  </si>
  <si>
    <t>DET-00388</t>
  </si>
  <si>
    <t>DET-00389</t>
  </si>
  <si>
    <t>DET-00390</t>
  </si>
  <si>
    <t>DET-00391</t>
  </si>
  <si>
    <t>DET-00392</t>
  </si>
  <si>
    <t>DET-00393</t>
  </si>
  <si>
    <t>DET-00394</t>
  </si>
  <si>
    <t>DET-00395</t>
  </si>
  <si>
    <t>DET-00396</t>
  </si>
  <si>
    <t>DET-00397</t>
  </si>
  <si>
    <t>DET-00398</t>
  </si>
  <si>
    <t>DET-00399</t>
  </si>
  <si>
    <t>DET-00400</t>
  </si>
  <si>
    <t>DET-00401</t>
  </si>
  <si>
    <t>DET-00402</t>
  </si>
  <si>
    <t>DET-00403</t>
  </si>
  <si>
    <t>DET-00404</t>
  </si>
  <si>
    <t>DET-00405</t>
  </si>
  <si>
    <t>DET-00406</t>
  </si>
  <si>
    <t>DET-00407</t>
  </si>
  <si>
    <t>DET-00408</t>
  </si>
  <si>
    <t>DET-00409</t>
  </si>
  <si>
    <t>DET-00410</t>
  </si>
  <si>
    <t>DET-00411</t>
  </si>
  <si>
    <t>DET-00412</t>
  </si>
  <si>
    <t>DET-00413</t>
  </si>
  <si>
    <t>DET-00414</t>
  </si>
  <si>
    <t>DET-00415</t>
  </si>
  <si>
    <t>DET-00416</t>
  </si>
  <si>
    <t>DET-00417</t>
  </si>
  <si>
    <t>DET-00418</t>
  </si>
  <si>
    <t>DET-00419</t>
  </si>
  <si>
    <t>DET-00420</t>
  </si>
  <si>
    <t>DET-00421</t>
  </si>
  <si>
    <t>DET-00422</t>
  </si>
  <si>
    <t>DET-00423</t>
  </si>
  <si>
    <t>DET-00424</t>
  </si>
  <si>
    <t>DET-00425</t>
  </si>
  <si>
    <t>DET-00426</t>
  </si>
  <si>
    <t>DET-00427</t>
  </si>
  <si>
    <t>DET-00428</t>
  </si>
  <si>
    <t>DET-00429</t>
  </si>
  <si>
    <t>DET-00430</t>
  </si>
  <si>
    <t>DET-00431</t>
  </si>
  <si>
    <t>DET-00432</t>
  </si>
  <si>
    <t>DET-00433</t>
  </si>
  <si>
    <t>DET-00434</t>
  </si>
  <si>
    <t>DET-00435</t>
  </si>
  <si>
    <t>DET-00436</t>
  </si>
  <si>
    <t>DET-00437</t>
  </si>
  <si>
    <t>DET-00438</t>
  </si>
  <si>
    <t>DET-00439</t>
  </si>
  <si>
    <t>DET-00440</t>
  </si>
  <si>
    <t>DET-00441</t>
  </si>
  <si>
    <t>DET-00442</t>
  </si>
  <si>
    <t>DET-00443</t>
  </si>
  <si>
    <t>DET-00444</t>
  </si>
  <si>
    <t>DET-00445</t>
  </si>
  <si>
    <t>DET-00446</t>
  </si>
  <si>
    <t>DET-00447</t>
  </si>
  <si>
    <t>DET-00448</t>
  </si>
  <si>
    <t>DET-00449</t>
  </si>
  <si>
    <t>DET-00450</t>
  </si>
  <si>
    <t>DET-00451</t>
  </si>
  <si>
    <t>DET-00452</t>
  </si>
  <si>
    <t>DET-00453</t>
  </si>
  <si>
    <t>DET-00454</t>
  </si>
  <si>
    <t>DET-00455</t>
  </si>
  <si>
    <t>DET-00456</t>
  </si>
  <si>
    <t>DET-00457</t>
  </si>
  <si>
    <t>DET-00458</t>
  </si>
  <si>
    <t>DET-00459</t>
  </si>
  <si>
    <t>DET-00460</t>
  </si>
  <si>
    <t>DET-00461</t>
  </si>
  <si>
    <t>DET-00462</t>
  </si>
  <si>
    <t>DET-00463</t>
  </si>
  <si>
    <t>DET-00464</t>
  </si>
  <si>
    <t>DET-00465</t>
  </si>
  <si>
    <t>DET-00466</t>
  </si>
  <si>
    <t>DET-00467</t>
  </si>
  <si>
    <t>DET-00468</t>
  </si>
  <si>
    <t>DET-00469</t>
  </si>
  <si>
    <t>DET-00470</t>
  </si>
  <si>
    <t>DET-00471</t>
  </si>
  <si>
    <t>DET-00472</t>
  </si>
  <si>
    <t>DET-00473</t>
  </si>
  <si>
    <t>DET-00474</t>
  </si>
  <si>
    <t>DET-00475</t>
  </si>
  <si>
    <t>DET-00476</t>
  </si>
  <si>
    <t>DET-00477</t>
  </si>
  <si>
    <t>DET-00478</t>
  </si>
  <si>
    <t>DET-00479</t>
  </si>
  <si>
    <t>DET-00480</t>
  </si>
  <si>
    <t>DET-00481</t>
  </si>
  <si>
    <t>DET-00482</t>
  </si>
  <si>
    <t>DET-00483</t>
  </si>
  <si>
    <t>DET-00484</t>
  </si>
  <si>
    <t>DET-00485</t>
  </si>
  <si>
    <t>DET-00486</t>
  </si>
  <si>
    <t>DET-00487</t>
  </si>
  <si>
    <t>DET-00488</t>
  </si>
  <si>
    <t>DET-00489</t>
  </si>
  <si>
    <t>DET-00490</t>
  </si>
  <si>
    <t>DET-00491</t>
  </si>
  <si>
    <t>DET-00492</t>
  </si>
  <si>
    <t>DET-00493</t>
  </si>
  <si>
    <t>DET-00494</t>
  </si>
  <si>
    <t>DET-00495</t>
  </si>
  <si>
    <t>DET-00496</t>
  </si>
  <si>
    <t>DET-00497</t>
  </si>
  <si>
    <t>DET-00498</t>
  </si>
  <si>
    <t>DET-00499</t>
  </si>
  <si>
    <t>DET-00500</t>
  </si>
  <si>
    <t>DET-00501</t>
  </si>
  <si>
    <t>DET-00502</t>
  </si>
  <si>
    <t>DET-00503</t>
  </si>
  <si>
    <t>DET-00504</t>
  </si>
  <si>
    <t>DET-00505</t>
  </si>
  <si>
    <t>DET-00506</t>
  </si>
  <si>
    <t>DET-00507</t>
  </si>
  <si>
    <t>DET-00508</t>
  </si>
  <si>
    <t>DET-00509</t>
  </si>
  <si>
    <t>DET-00510</t>
  </si>
  <si>
    <t>DET-00511</t>
  </si>
  <si>
    <t>DET-00512</t>
  </si>
  <si>
    <t>DET-00513</t>
  </si>
  <si>
    <t>DET-00514</t>
  </si>
  <si>
    <t>DET-00515</t>
  </si>
  <si>
    <t>DET-00516</t>
  </si>
  <si>
    <t>DET-00517</t>
  </si>
  <si>
    <t>DET-00518</t>
  </si>
  <si>
    <t>DET-00519</t>
  </si>
  <si>
    <t>DET-00520</t>
  </si>
  <si>
    <t>DET-00521</t>
  </si>
  <si>
    <t>DET-00522</t>
  </si>
  <si>
    <t>DET-00523</t>
  </si>
  <si>
    <t>DET-00524</t>
  </si>
  <si>
    <t>DET-00525</t>
  </si>
  <si>
    <t>DET-00526</t>
  </si>
  <si>
    <t>DET-00527</t>
  </si>
  <si>
    <t>DET-00528</t>
  </si>
  <si>
    <t>DET-00529</t>
  </si>
  <si>
    <t>DET-00530</t>
  </si>
  <si>
    <t>DET-00531</t>
  </si>
  <si>
    <t>DET-00532</t>
  </si>
  <si>
    <t>DET-00533</t>
  </si>
  <si>
    <t>DET-00534</t>
  </si>
  <si>
    <t>DET-00535</t>
  </si>
  <si>
    <t>DET-00536</t>
  </si>
  <si>
    <t>DET-00537</t>
  </si>
  <si>
    <t>DET-00538</t>
  </si>
  <si>
    <t>DET-00539</t>
  </si>
  <si>
    <t>DET-00540</t>
  </si>
  <si>
    <t>DET-00541</t>
  </si>
  <si>
    <t>DET-00542</t>
  </si>
  <si>
    <t>DET-00543</t>
  </si>
  <si>
    <t>DET-00544</t>
  </si>
  <si>
    <t>DET-00545</t>
  </si>
  <si>
    <t>DET-00546</t>
  </si>
  <si>
    <t>DET-00547</t>
  </si>
  <si>
    <t>DET-00548</t>
  </si>
  <si>
    <t>DET-00549</t>
  </si>
  <si>
    <t>DET-00550</t>
  </si>
  <si>
    <t>DET-00551</t>
  </si>
  <si>
    <t>DET-00552</t>
  </si>
  <si>
    <t>DET-00553</t>
  </si>
  <si>
    <t>DET-00554</t>
  </si>
  <si>
    <t>DET-00555</t>
  </si>
  <si>
    <t>DET-00556</t>
  </si>
  <si>
    <t>DET-00557</t>
  </si>
  <si>
    <t>DET-00558</t>
  </si>
  <si>
    <t>DET-00559</t>
  </si>
  <si>
    <t>DET-00560</t>
  </si>
  <si>
    <t>DET-00561</t>
  </si>
  <si>
    <t>DET-00562</t>
  </si>
  <si>
    <t>DET-00563</t>
  </si>
  <si>
    <t>DET-00564</t>
  </si>
  <si>
    <t>DET-00565</t>
  </si>
  <si>
    <t>DET-00566</t>
  </si>
  <si>
    <t>DET-00567</t>
  </si>
  <si>
    <t>DET-00568</t>
  </si>
  <si>
    <t>DET-00569</t>
  </si>
  <si>
    <t>DET-00570</t>
  </si>
  <si>
    <t>DET-00571</t>
  </si>
  <si>
    <t>DET-00572</t>
  </si>
  <si>
    <t>DET-00573</t>
  </si>
  <si>
    <t>DET-00574</t>
  </si>
  <si>
    <t>DET-00575</t>
  </si>
  <si>
    <t>DET-00576</t>
  </si>
  <si>
    <t>DET-00577</t>
  </si>
  <si>
    <t>DET-00578</t>
  </si>
  <si>
    <t>DET-00579</t>
  </si>
  <si>
    <t>DET-00580</t>
  </si>
  <si>
    <t>DET-00581</t>
  </si>
  <si>
    <t>DET-00582</t>
  </si>
  <si>
    <t>DET-00583</t>
  </si>
  <si>
    <t>DET-00584</t>
  </si>
  <si>
    <t>DET-00585</t>
  </si>
  <si>
    <t>DET-00586</t>
  </si>
  <si>
    <t>DET-00587</t>
  </si>
  <si>
    <t>DET-00588</t>
  </si>
  <si>
    <t>DET-00589</t>
  </si>
  <si>
    <t>DET-00590</t>
  </si>
  <si>
    <t>DET-00591</t>
  </si>
  <si>
    <t>DASHBOARD EJECUTIVO · TALLER DE MANTENCIÓN Y REPARACIÓN DE BUSES</t>
  </si>
  <si>
    <t>Prototipo de control operativo y financiero · datos sintéticos · montos en pesos chilenos (CLP)</t>
  </si>
  <si>
    <t>Fecha de corte</t>
  </si>
  <si>
    <t>Mes de ingreso</t>
  </si>
  <si>
    <t>Tipo de servicio</t>
  </si>
  <si>
    <t>Estado de OT</t>
  </si>
  <si>
    <t>Los filtros (celdas amarillas) afectan KPIs, Top 5 y gráficos. Las alertas muestran siempre la vista global.</t>
  </si>
  <si>
    <t>Datos de apoyo para gráficos (no editar)</t>
  </si>
  <si>
    <t>Criterio tipo</t>
  </si>
  <si>
    <t>Criterio estado</t>
  </si>
  <si>
    <t>OPERACIÓN</t>
  </si>
  <si>
    <t>TOTAL OT DEL PERÍODO</t>
  </si>
  <si>
    <t>OT ABIERTAS</t>
  </si>
  <si>
    <t>OT ATRASADAS ACTIVAS</t>
  </si>
  <si>
    <t>% CUMPLIMIENTO DE PLAZOS</t>
  </si>
  <si>
    <t>DÍAS PROMEDIO EN TALLER</t>
  </si>
  <si>
    <t>N° OT</t>
  </si>
  <si>
    <t>Importe cobrable</t>
  </si>
  <si>
    <t>Costos directos</t>
  </si>
  <si>
    <t>ECONOMÍA</t>
  </si>
  <si>
    <t>IMPORTE TOTAL COBRABLE</t>
  </si>
  <si>
    <t>COSTO DIRECTO MATERIALES</t>
  </si>
  <si>
    <t>COSTO DIRECTO MANO DE OBRA</t>
  </si>
  <si>
    <t>MARGEN DE CONTRIBUCIÓN ($)</t>
  </si>
  <si>
    <t>MARGEN DE CONTRIBUCIÓN (%)</t>
  </si>
  <si>
    <t>MATERIALES · TOP 5 REPUESTOS</t>
  </si>
  <si>
    <t>#</t>
  </si>
  <si>
    <t>Por cantidad usada</t>
  </si>
  <si>
    <t>Cantidad</t>
  </si>
  <si>
    <t>Por costo de consumo</t>
  </si>
  <si>
    <t>Costo ($)</t>
  </si>
  <si>
    <t>ALERTAS Y EXCEPCIONES · VISTA GLOBAL</t>
  </si>
  <si>
    <t>Días de atraso</t>
  </si>
  <si>
    <t>Monto por facturar</t>
  </si>
  <si>
    <t>Líneas incompletas</t>
  </si>
  <si>
    <t>Cada lista muestra las primeras 12 OT (orden cronológico de ingreso). El listado completo se obtiene filtrando las columnas Atrasada_Activa, Pend_Facturacion o Dato_Incompleto en Registro_OT.</t>
  </si>
  <si>
    <t>GRÁFICOS</t>
  </si>
  <si>
    <t>PLAN DE PRUEBAS Y VERIFICACIÓN</t>
  </si>
  <si>
    <t>Condición previa: filtros del Dashboard en «Todos» y fecha de corte 21-10-2026. Los valores esperados fueron calculados de forma independiente al generar los datos (Python); los obtenidos son fórmulas vivas del libro.</t>
  </si>
  <si>
    <t>Condición previa</t>
  </si>
  <si>
    <t>ID</t>
  </si>
  <si>
    <t>Objetivo de la prueba</t>
  </si>
  <si>
    <t>Resultado esperado</t>
  </si>
  <si>
    <t>Resultado obtenido</t>
  </si>
  <si>
    <t>Tolerancia</t>
  </si>
  <si>
    <t>Estado</t>
  </si>
  <si>
    <t>Cómo se obtiene</t>
  </si>
  <si>
    <t>P01</t>
  </si>
  <si>
    <t>Total de OT del período</t>
  </si>
  <si>
    <t>KPI del Dashboard</t>
  </si>
  <si>
    <t>P02</t>
  </si>
  <si>
    <t>OT abiertas (En Curso + Reprogramada)</t>
  </si>
  <si>
    <t>P03</t>
  </si>
  <si>
    <t>OT atrasadas activas a la fecha de corte</t>
  </si>
  <si>
    <t>P04</t>
  </si>
  <si>
    <t>% de cumplimiento de plazos (OT cerradas)</t>
  </si>
  <si>
    <t>P05</t>
  </si>
  <si>
    <t>Días promedio en taller (OT cerradas)</t>
  </si>
  <si>
    <t>P06</t>
  </si>
  <si>
    <t>Importe total cobrable</t>
  </si>
  <si>
    <t>P07</t>
  </si>
  <si>
    <t>Costo directo de materiales</t>
  </si>
  <si>
    <t>P08</t>
  </si>
  <si>
    <t>Costo directo de mano de obra</t>
  </si>
  <si>
    <t>P09</t>
  </si>
  <si>
    <t>Margen de contribución = cobrable − (materiales + mano de obra)</t>
  </si>
  <si>
    <t>P10</t>
  </si>
  <si>
    <t>Cuadratura: Σ cobrable en Registro_OT − Σ precio en Detalle_OT</t>
  </si>
  <si>
    <t>Diferencia entre ambas tablas</t>
  </si>
  <si>
    <t>P11</t>
  </si>
  <si>
    <t>Integridad referencial: líneas de detalle sin OT padre</t>
  </si>
  <si>
    <t>Conteo de huérfanos</t>
  </si>
  <si>
    <t>P12</t>
  </si>
  <si>
    <t>Unicidad de ID_OT en Registro_OT</t>
  </si>
  <si>
    <t>Conteo de valores distintos</t>
  </si>
  <si>
    <t>P13</t>
  </si>
  <si>
    <t>Líneas de detalle con costo o precio faltante</t>
  </si>
  <si>
    <t>Suma de la columna Alerta_Dato</t>
  </si>
  <si>
    <t>P14</t>
  </si>
  <si>
    <t>OT terminadas/entregadas pendientes de facturación</t>
  </si>
  <si>
    <t>Conteo directo por estado</t>
  </si>
  <si>
    <t>P15</t>
  </si>
  <si>
    <t>OT con margen negativo</t>
  </si>
  <si>
    <t>Conteo de márgenes &lt; 0</t>
  </si>
  <si>
    <t>P16</t>
  </si>
  <si>
    <t>Repuesto n.º 1 por cantidad usada</t>
  </si>
  <si>
    <t>texto</t>
  </si>
  <si>
    <t>Top 5 del Dashboard</t>
  </si>
  <si>
    <t>P17</t>
  </si>
  <si>
    <t>Repuesto n.º 1 por costo de consumo</t>
  </si>
  <si>
    <t>P18</t>
  </si>
  <si>
    <t>Manual: en el Dashboard elegir Tipo de servicio = «Siniestro/Carrocería» y anotar el Total de OT</t>
  </si>
  <si>
    <t>Completar la celda amarilla; luego restablecer el filtro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</si>
</sst>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Red]&quot;-$&quot;#,##0"/>
    <numFmt numFmtId="165" formatCode="0.0"/>
    <numFmt numFmtId="166" formatCode="0.0%"/>
    <numFmt numFmtId="167" formatCode="\$#,##0"/>
    <numFmt numFmtId="168" formatCode="dd\-mm\-yyyy"/>
    <numFmt numFmtId="169" formatCode="&quot;$&quot;#,##0"/>
    <numFmt numFmtId="170" formatCode="yyyy\-mm\-dd\ h:mm:ss"/>
  </numFmts>
  <fonts count="42" x14ac:knownFonts="1">
    <font>
      <sz val="11"/>
      <color theme="1"/>
      <name val="Calibri"/>
      <family val="2"/>
      <charset val="1"/>
    </font>
    <font>
      <b/>
      <sz val="15"/>
      <color rgb="FF1F3A5F"/>
      <name val="Arial"/>
      <charset val="1"/>
    </font>
    <font>
      <i/>
      <sz val="10"/>
      <color rgb="FF55606E"/>
      <name val="Arial"/>
      <charset val="1"/>
    </font>
    <font>
      <b/>
      <sz val="11"/>
      <color rgb="FFFFFFFF"/>
      <name val="Arial"/>
      <charset val="1"/>
    </font>
    <font>
      <sz val="10"/>
      <name val="Arial"/>
      <charset val="1"/>
    </font>
    <font>
      <b/>
      <sz val="16"/>
      <color rgb="FFFFFFFF"/>
      <name val="Arial"/>
      <charset val="1"/>
    </font>
    <font>
      <i/>
      <sz val="9"/>
      <color rgb="FF55606E"/>
      <name val="Arial"/>
      <charset val="1"/>
    </font>
    <font>
      <b/>
      <sz val="9"/>
      <color rgb="FF55606E"/>
      <name val="Arial"/>
      <charset val="1"/>
    </font>
    <font>
      <i/>
      <sz val="8"/>
      <color rgb="FF55606E"/>
      <name val="Arial"/>
      <charset val="1"/>
    </font>
    <font>
      <b/>
      <sz val="11"/>
      <color rgb="FF0000FF"/>
      <name val="Arial"/>
      <charset val="1"/>
    </font>
    <font>
      <sz val="9"/>
      <color rgb="FF55606E"/>
      <name val="Arial"/>
      <charset val="1"/>
    </font>
    <font>
      <b/>
      <sz val="10"/>
      <color rgb="FF1F3A5F"/>
      <name val="Arial"/>
      <charset val="1"/>
    </font>
    <font>
      <b/>
      <sz val="9"/>
      <color rgb="FFFFFFFF"/>
      <name val="Arial"/>
      <charset val="1"/>
    </font>
    <font>
      <b/>
      <sz val="20"/>
      <color rgb="FF1F3A5F"/>
      <name val="Arial"/>
      <charset val="1"/>
    </font>
    <font>
      <b/>
      <sz val="9"/>
      <color rgb="FF1F3A5F"/>
      <name val="Arial"/>
      <charset val="1"/>
    </font>
    <font>
      <sz val="9"/>
      <name val="Arial"/>
      <charset val="1"/>
    </font>
    <font>
      <b/>
      <sz val="14"/>
      <color rgb="FF1F3A5F"/>
      <name val="Arial"/>
      <charset val="1"/>
    </font>
    <font>
      <i/>
      <sz val="9"/>
      <name val="Arial"/>
      <charset val="1"/>
    </font>
    <font>
      <b/>
      <sz val="9"/>
      <name val="Arial"/>
      <charset val="1"/>
    </font>
    <font>
      <b/>
      <sz val="10"/>
      <name val="Arial"/>
      <charset val="1"/>
    </font>
    <font>
      <b/>
      <sz val="10"/>
      <color rgb="FFFFFFFF"/>
      <name val="Arial"/>
      <charset val="1"/>
    </font>
    <font>
      <b/>
      <sz val="11"/>
      <color rgb="FF1F3A5F"/>
      <name val="Arial"/>
      <charset val="1"/>
    </font>
    <font>
      <b/>
      <sz val="11"/>
      <color rgb="FFFFFFFF"/>
      <name val="Calibri"/>
    </font>
    <font>
      <b/>
      <sz val="14"/>
      <color rgb="FFFFFFFF"/>
      <name val="Calibri"/>
    </font>
    <font>
      <i/>
      <sz val="9"/>
      <color rgb="FF595959"/>
      <name val="Calibri"/>
    </font>
    <font>
      <b/>
      <sz val="11"/>
      <name val="Calibri"/>
    </font>
    <font>
      <b/>
      <sz val="11"/>
      <color rgb="FF1F4E78"/>
      <name val="Calibri"/>
    </font>
    <font>
      <b/>
      <sz val="8"/>
      <color rgb="FFFFFFFF"/>
      <name val="Calibri"/>
    </font>
    <font>
      <b/>
      <sz val="14"/>
      <name val="Calibri"/>
    </font>
    <font>
      <b/>
      <sz val="12"/>
      <name val="Calibri"/>
    </font>
    <font>
      <b/>
      <sz val="9"/>
      <color rgb="FFFFFFFF"/>
      <name val="Calibri"/>
    </font>
    <font>
      <b/>
      <sz val="10"/>
      <name val="Calibri"/>
    </font>
    <font>
      <b/>
      <sz val="10"/>
      <color rgb="FFC00000"/>
      <name val="Calibri"/>
    </font>
    <font>
      <b/>
      <sz val="12"/>
      <color rgb="FF1F4E78"/>
      <name val="Calibri"/>
    </font>
    <font>
      <b/>
      <sz val="12"/>
      <color rgb="FF2E75B6"/>
      <name val="Calibri"/>
    </font>
    <font>
      <b/>
      <sz val="12"/>
      <color rgb="FF548235"/>
      <name val="Calibri"/>
    </font>
    <font>
      <b/>
      <sz val="16"/>
      <color rgb="FF333333"/>
      <name val="Calibri"/>
    </font>
    <font>
      <b/>
      <sz val="12"/>
      <color rgb="FF595959"/>
      <name val="Calibri"/>
    </font>
    <font>
      <b/>
      <sz val="15"/>
      <color rgb="FF333333"/>
      <name val="Calibri"/>
    </font>
    <font>
      <b/>
      <sz val="10"/>
      <color rgb="FF595959"/>
      <name val="Calibri"/>
    </font>
    <font>
      <b/>
      <sz val="14"/>
      <color theme="0"/>
      <name val="Calibri"/>
      <family val="2"/>
    </font>
    <font>
      <sz val="14"/>
      <color theme="0"/>
      <name val="Calibri"/>
      <family val="2"/>
    </font>
  </fonts>
  <fills count="15">
    <fill>
      <patternFill patternType="none"/>
    </fill>
    <fill>
      <patternFill patternType="gray125"/>
    </fill>
    <fill>
      <patternFill patternType="solid">
        <fgColor rgb="FF1F3A5F"/>
        <bgColor rgb="FF333333"/>
      </patternFill>
    </fill>
    <fill>
      <patternFill patternType="solid">
        <fgColor rgb="FF5B7083"/>
        <bgColor rgb="FF55606E"/>
      </patternFill>
    </fill>
    <fill>
      <patternFill patternType="solid">
        <fgColor rgb="FFFFF8CC"/>
        <bgColor rgb="FFF9F9F9"/>
      </patternFill>
    </fill>
    <fill>
      <patternFill patternType="solid">
        <fgColor rgb="FFEEF3F9"/>
        <bgColor rgb="FFF9F9F9"/>
      </patternFill>
    </fill>
    <fill>
      <patternFill patternType="solid">
        <fgColor rgb="FF1F4E78"/>
        <bgColor rgb="FF1F4E78"/>
      </patternFill>
    </fill>
    <fill>
      <patternFill patternType="solid">
        <fgColor rgb="FFFFF2CC"/>
        <bgColor rgb="FFFFF2CC"/>
      </patternFill>
    </fill>
    <fill>
      <patternFill patternType="solid">
        <fgColor rgb="FF2E75B6"/>
        <bgColor rgb="FF2E75B6"/>
      </patternFill>
    </fill>
    <fill>
      <patternFill patternType="solid">
        <fgColor rgb="FF548235"/>
        <bgColor rgb="FF548235"/>
      </patternFill>
    </fill>
    <fill>
      <patternFill patternType="solid">
        <fgColor rgb="FF70AD47"/>
        <bgColor rgb="FF70AD47"/>
      </patternFill>
    </fill>
    <fill>
      <patternFill patternType="solid">
        <fgColor rgb="FF375623"/>
        <bgColor rgb="FF375623"/>
      </patternFill>
    </fill>
    <fill>
      <patternFill patternType="solid">
        <fgColor rgb="FFC00000"/>
        <bgColor rgb="FFC00000"/>
      </patternFill>
    </fill>
    <fill>
      <patternFill patternType="solid">
        <fgColor rgb="FFC65911"/>
        <bgColor rgb="FFC65911"/>
      </patternFill>
    </fill>
    <fill>
      <patternFill patternType="solid">
        <fgColor rgb="FF002060"/>
        <bgColor indexed="64"/>
      </patternFill>
    </fill>
  </fills>
  <borders count="27">
    <border>
      <left/>
      <right/>
      <top/>
      <bottom/>
      <diagonal/>
    </border>
    <border>
      <left style="thin">
        <color rgb="FFBFC7D1"/>
      </left>
      <right style="thin">
        <color rgb="FFBFC7D1"/>
      </right>
      <top style="thin">
        <color rgb="FFBFC7D1"/>
      </top>
      <bottom style="thin">
        <color rgb="FFBFC7D1"/>
      </bottom>
      <diagonal/>
    </border>
    <border>
      <left/>
      <right/>
      <top/>
      <bottom style="medium">
        <color rgb="FF1F3A5F"/>
      </bottom>
      <diagonal/>
    </border>
    <border>
      <left/>
      <right style="thin">
        <color rgb="FFBFC7D1"/>
      </right>
      <top style="thin">
        <color rgb="FFBFC7D1"/>
      </top>
      <bottom style="thin">
        <color rgb="FFBFC7D1"/>
      </bottom>
      <diagonal/>
    </border>
    <border>
      <left style="thin">
        <color rgb="FFD9D9D9"/>
      </left>
      <right style="thin">
        <color rgb="FFD9D9D9"/>
      </right>
      <top/>
      <bottom style="medium">
        <color rgb="FF1F4E78"/>
      </bottom>
      <diagonal/>
    </border>
    <border>
      <left style="thin">
        <color rgb="FFD9D9D9"/>
      </left>
      <right style="thin">
        <color rgb="FFD9D9D9"/>
      </right>
      <top/>
      <bottom style="medium">
        <color rgb="FF2E75B6"/>
      </bottom>
      <diagonal/>
    </border>
    <border>
      <left style="thin">
        <color rgb="FFD9D9D9"/>
      </left>
      <right style="thin">
        <color rgb="FFD9D9D9"/>
      </right>
      <top/>
      <bottom style="medium">
        <color rgb="FF548235"/>
      </bottom>
      <diagonal/>
    </border>
    <border>
      <left style="thin">
        <color rgb="FFD9D9D9"/>
      </left>
      <right style="thin">
        <color rgb="FFD9D9D9"/>
      </right>
      <top/>
      <bottom style="medium">
        <color rgb="FF70AD47"/>
      </bottom>
      <diagonal/>
    </border>
    <border>
      <left style="thin">
        <color rgb="FFD9D9D9"/>
      </left>
      <right style="thin">
        <color rgb="FFD9D9D9"/>
      </right>
      <top/>
      <bottom style="medium">
        <color rgb="FF375623"/>
      </bottom>
      <diagonal/>
    </border>
    <border>
      <left style="thin">
        <color rgb="FFD9D9D9"/>
      </left>
      <right style="thin">
        <color rgb="FFD9D9D9"/>
      </right>
      <top/>
      <bottom style="medium">
        <color rgb="FFC00000"/>
      </bottom>
      <diagonal/>
    </border>
    <border>
      <left style="thin">
        <color rgb="FFD9D9D9"/>
      </left>
      <right style="thin">
        <color rgb="FFD9D9D9"/>
      </right>
      <top/>
      <bottom style="medium">
        <color rgb="FFC65911"/>
      </bottom>
      <diagonal/>
    </border>
    <border>
      <left/>
      <right style="thin">
        <color rgb="FFD9D9D9"/>
      </right>
      <top/>
      <bottom style="medium">
        <color rgb="FF548235"/>
      </bottom>
      <diagonal/>
    </border>
    <border>
      <left/>
      <right style="thin">
        <color rgb="FFD9D9D9"/>
      </right>
      <top/>
      <bottom style="medium">
        <color rgb="FF2E75B6"/>
      </bottom>
      <diagonal/>
    </border>
    <border>
      <left/>
      <right style="thin">
        <color rgb="FFD9D9D9"/>
      </right>
      <top/>
      <bottom style="medium">
        <color rgb="FF1F4E78"/>
      </bottom>
      <diagonal/>
    </border>
    <border>
      <left/>
      <right style="thin">
        <color rgb="FFD9D9D9"/>
      </right>
      <top/>
      <bottom style="medium">
        <color rgb="FFC65911"/>
      </bottom>
      <diagonal/>
    </border>
    <border>
      <left/>
      <right style="thin">
        <color rgb="FFD9D9D9"/>
      </right>
      <top/>
      <bottom style="medium">
        <color rgb="FF375623"/>
      </bottom>
      <diagonal/>
    </border>
    <border>
      <left/>
      <right style="thin">
        <color rgb="FFD9D9D9"/>
      </right>
      <top/>
      <bottom style="medium">
        <color rgb="FFC00000"/>
      </bottom>
      <diagonal/>
    </border>
    <border>
      <left/>
      <right style="thin">
        <color rgb="FFD9D9D9"/>
      </right>
      <top/>
      <bottom style="medium">
        <color rgb="FF70AD47"/>
      </bottom>
      <diagonal/>
    </border>
    <border>
      <left style="thin">
        <color rgb="FFB2A100"/>
      </left>
      <right style="thin">
        <color rgb="FFB2A100"/>
      </right>
      <top style="thin">
        <color rgb="FFB2A100"/>
      </top>
      <bottom style="thin">
        <color rgb="FFB2A100"/>
      </bottom>
      <diagonal/>
    </border>
    <border>
      <left/>
      <right/>
      <top/>
      <bottom style="medium">
        <color rgb="FF548235"/>
      </bottom>
      <diagonal/>
    </border>
    <border>
      <left/>
      <right/>
      <top/>
      <bottom style="medium">
        <color rgb="FF2E75B6"/>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rgb="FFD9D9D9"/>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s>
  <cellStyleXfs count="1">
    <xf numFmtId="0" fontId="0" fillId="0" borderId="0"/>
  </cellStyleXfs>
  <cellXfs count="112">
    <xf numFmtId="0" fontId="0" fillId="0" borderId="0" xfId="0"/>
    <xf numFmtId="0" fontId="12" fillId="3" borderId="1" xfId="0" applyFont="1" applyFill="1" applyBorder="1"/>
    <xf numFmtId="0" fontId="9" fillId="4" borderId="1" xfId="0" applyFont="1" applyFill="1" applyBorder="1" applyAlignment="1">
      <alignment horizontal="center"/>
    </xf>
    <xf numFmtId="0" fontId="1" fillId="0" borderId="0" xfId="0" applyFont="1"/>
    <xf numFmtId="0" fontId="2" fillId="0" borderId="0" xfId="0" applyFont="1"/>
    <xf numFmtId="0" fontId="3" fillId="2" borderId="0" xfId="0" applyFont="1" applyFill="1" applyAlignment="1">
      <alignment vertical="top" wrapText="1"/>
    </xf>
    <xf numFmtId="0" fontId="4" fillId="0" borderId="1" xfId="0" applyFont="1" applyBorder="1" applyAlignment="1">
      <alignment vertical="top" wrapText="1"/>
    </xf>
    <xf numFmtId="0" fontId="3" fillId="2" borderId="0" xfId="0" applyFont="1" applyFill="1" applyAlignment="1">
      <alignment horizontal="center" vertical="center" wrapText="1"/>
    </xf>
    <xf numFmtId="0" fontId="4" fillId="0" borderId="0" xfId="0" applyFont="1"/>
    <xf numFmtId="0" fontId="3" fillId="3" borderId="0" xfId="0" applyFont="1" applyFill="1" applyAlignment="1">
      <alignment horizontal="center" vertical="center" wrapText="1"/>
    </xf>
    <xf numFmtId="167" fontId="4" fillId="0" borderId="0" xfId="0" applyNumberFormat="1" applyFont="1"/>
    <xf numFmtId="0" fontId="7" fillId="0" borderId="0" xfId="0" applyFont="1"/>
    <xf numFmtId="168" fontId="9" fillId="4" borderId="1" xfId="0" applyNumberFormat="1" applyFont="1" applyFill="1" applyBorder="1" applyAlignment="1">
      <alignment horizontal="center"/>
    </xf>
    <xf numFmtId="0" fontId="10" fillId="0" borderId="0" xfId="0" applyFont="1"/>
    <xf numFmtId="0" fontId="12" fillId="3" borderId="0" xfId="0" applyFont="1" applyFill="1"/>
    <xf numFmtId="167" fontId="10" fillId="0" borderId="0" xfId="0" applyNumberFormat="1" applyFont="1"/>
    <xf numFmtId="0" fontId="4" fillId="0" borderId="1" xfId="0" applyFont="1" applyBorder="1" applyAlignment="1">
      <alignment horizontal="center"/>
    </xf>
    <xf numFmtId="3" fontId="4" fillId="0" borderId="1" xfId="0" applyNumberFormat="1" applyFont="1" applyBorder="1"/>
    <xf numFmtId="167" fontId="4" fillId="0" borderId="1" xfId="0" applyNumberFormat="1" applyFont="1" applyBorder="1"/>
    <xf numFmtId="0" fontId="12" fillId="3" borderId="1" xfId="0" applyFont="1" applyFill="1" applyBorder="1" applyAlignment="1">
      <alignment horizontal="center"/>
    </xf>
    <xf numFmtId="0" fontId="15" fillId="0" borderId="1" xfId="0" applyFont="1" applyBorder="1" applyAlignment="1">
      <alignment horizontal="center"/>
    </xf>
    <xf numFmtId="1" fontId="15" fillId="0" borderId="1" xfId="0" applyNumberFormat="1" applyFont="1" applyBorder="1" applyAlignment="1">
      <alignment horizontal="center"/>
    </xf>
    <xf numFmtId="167" fontId="15" fillId="0" borderId="1" xfId="0" applyNumberFormat="1" applyFont="1" applyBorder="1" applyAlignment="1">
      <alignment horizontal="center"/>
    </xf>
    <xf numFmtId="0" fontId="16" fillId="0" borderId="0" xfId="0" applyFont="1"/>
    <xf numFmtId="0" fontId="18" fillId="0" borderId="0" xfId="0" applyFont="1"/>
    <xf numFmtId="0" fontId="19" fillId="0" borderId="0" xfId="0" applyFont="1"/>
    <xf numFmtId="0" fontId="20"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1" fontId="4" fillId="0" borderId="1" xfId="0" applyNumberFormat="1" applyFont="1" applyBorder="1" applyAlignment="1">
      <alignment horizontal="center" vertical="center"/>
    </xf>
    <xf numFmtId="166" fontId="4" fillId="0" borderId="1" xfId="0" applyNumberFormat="1" applyFont="1" applyBorder="1" applyAlignment="1">
      <alignment horizontal="center" vertical="center"/>
    </xf>
    <xf numFmtId="165" fontId="4" fillId="0" borderId="1" xfId="0" applyNumberFormat="1" applyFont="1" applyBorder="1" applyAlignment="1">
      <alignment horizontal="center" vertical="center"/>
    </xf>
    <xf numFmtId="167" fontId="4" fillId="0" borderId="1" xfId="0" applyNumberFormat="1" applyFont="1" applyBorder="1" applyAlignment="1">
      <alignment horizontal="center" vertical="center"/>
    </xf>
    <xf numFmtId="164" fontId="4" fillId="0" borderId="1" xfId="0" applyNumberFormat="1" applyFont="1" applyBorder="1" applyAlignment="1">
      <alignment horizontal="center" vertical="center"/>
    </xf>
    <xf numFmtId="49" fontId="4" fillId="0" borderId="1" xfId="0" applyNumberFormat="1" applyFont="1" applyBorder="1" applyAlignment="1">
      <alignment horizontal="center" vertical="center"/>
    </xf>
    <xf numFmtId="0" fontId="9" fillId="4" borderId="1" xfId="0" applyFont="1" applyFill="1" applyBorder="1" applyAlignment="1">
      <alignment horizontal="center" vertical="center"/>
    </xf>
    <xf numFmtId="0" fontId="21" fillId="0" borderId="0" xfId="0" applyFont="1"/>
    <xf numFmtId="0" fontId="25" fillId="0" borderId="0" xfId="0" applyFont="1"/>
    <xf numFmtId="0" fontId="26" fillId="0" borderId="0" xfId="0" applyFont="1"/>
    <xf numFmtId="0" fontId="30" fillId="6" borderId="0" xfId="0" applyFont="1" applyFill="1" applyAlignment="1">
      <alignment horizontal="center" vertical="center"/>
    </xf>
    <xf numFmtId="169" fontId="0" fillId="0" borderId="0" xfId="0" applyNumberFormat="1"/>
    <xf numFmtId="0" fontId="25" fillId="0" borderId="0" xfId="0" applyFont="1" applyAlignment="1">
      <alignment horizontal="center"/>
    </xf>
    <xf numFmtId="0" fontId="22" fillId="6" borderId="0" xfId="0" applyFont="1" applyFill="1" applyAlignment="1">
      <alignment horizontal="center" vertical="center"/>
    </xf>
    <xf numFmtId="170" fontId="0" fillId="0" borderId="0" xfId="0" applyNumberFormat="1"/>
    <xf numFmtId="0" fontId="31" fillId="0" borderId="0" xfId="0" applyFont="1" applyAlignment="1">
      <alignment horizontal="right" vertical="center"/>
    </xf>
    <xf numFmtId="0" fontId="32" fillId="7" borderId="18" xfId="0" applyFont="1" applyFill="1" applyBorder="1" applyAlignment="1">
      <alignment horizontal="center" vertical="center"/>
    </xf>
    <xf numFmtId="166" fontId="0" fillId="0" borderId="0" xfId="0" applyNumberFormat="1"/>
    <xf numFmtId="169" fontId="25" fillId="0" borderId="0" xfId="0" applyNumberFormat="1" applyFont="1"/>
    <xf numFmtId="166" fontId="25" fillId="0" borderId="0" xfId="0" applyNumberFormat="1" applyFont="1"/>
    <xf numFmtId="0" fontId="22" fillId="6" borderId="0" xfId="0" applyFont="1" applyFill="1"/>
    <xf numFmtId="0" fontId="26" fillId="6" borderId="0" xfId="0" applyFont="1" applyFill="1" applyAlignment="1">
      <alignment horizontal="center" vertical="center"/>
    </xf>
    <xf numFmtId="169" fontId="30" fillId="6" borderId="0" xfId="0" applyNumberFormat="1" applyFont="1" applyFill="1" applyAlignment="1">
      <alignment horizontal="center" vertical="center"/>
    </xf>
    <xf numFmtId="166" fontId="30" fillId="6" borderId="0" xfId="0" applyNumberFormat="1" applyFont="1" applyFill="1" applyAlignment="1">
      <alignment horizontal="center" vertical="center"/>
    </xf>
    <xf numFmtId="169" fontId="29" fillId="0" borderId="6" xfId="0" applyNumberFormat="1" applyFont="1" applyBorder="1" applyAlignment="1">
      <alignment horizontal="center" vertical="center"/>
    </xf>
    <xf numFmtId="0" fontId="0" fillId="0" borderId="11" xfId="0" applyBorder="1"/>
    <xf numFmtId="0" fontId="27" fillId="6" borderId="0" xfId="0" applyFont="1" applyFill="1" applyAlignment="1">
      <alignment horizontal="center" vertical="center"/>
    </xf>
    <xf numFmtId="0" fontId="0" fillId="0" borderId="0" xfId="0"/>
    <xf numFmtId="0" fontId="27" fillId="13" borderId="0" xfId="0" applyFont="1" applyFill="1" applyAlignment="1">
      <alignment horizontal="center" vertical="center"/>
    </xf>
    <xf numFmtId="0" fontId="27" fillId="12" borderId="0" xfId="0" applyFont="1" applyFill="1" applyAlignment="1">
      <alignment horizontal="center" vertical="center"/>
    </xf>
    <xf numFmtId="0" fontId="28" fillId="0" borderId="5" xfId="0" applyFont="1" applyBorder="1" applyAlignment="1">
      <alignment horizontal="center" vertical="center"/>
    </xf>
    <xf numFmtId="0" fontId="0" fillId="0" borderId="12" xfId="0" applyBorder="1"/>
    <xf numFmtId="169" fontId="29" fillId="0" borderId="4" xfId="0" applyNumberFormat="1" applyFont="1" applyBorder="1" applyAlignment="1">
      <alignment horizontal="center" vertical="center"/>
    </xf>
    <xf numFmtId="0" fontId="0" fillId="0" borderId="13" xfId="0" applyBorder="1"/>
    <xf numFmtId="169" fontId="29" fillId="0" borderId="10" xfId="0" applyNumberFormat="1" applyFont="1" applyBorder="1" applyAlignment="1">
      <alignment horizontal="center" vertical="center"/>
    </xf>
    <xf numFmtId="0" fontId="0" fillId="0" borderId="14" xfId="0" applyBorder="1"/>
    <xf numFmtId="0" fontId="24" fillId="0" borderId="0" xfId="0" applyFont="1" applyAlignment="1">
      <alignment horizontal="center" vertical="center"/>
    </xf>
    <xf numFmtId="0" fontId="28" fillId="0" borderId="4" xfId="0" applyFont="1" applyBorder="1" applyAlignment="1">
      <alignment horizontal="center" vertical="center"/>
    </xf>
    <xf numFmtId="0" fontId="28" fillId="0" borderId="9" xfId="0" applyFont="1" applyBorder="1" applyAlignment="1">
      <alignment horizontal="center" vertical="center"/>
    </xf>
    <xf numFmtId="0" fontId="0" fillId="0" borderId="16" xfId="0" applyBorder="1"/>
    <xf numFmtId="0" fontId="23" fillId="6" borderId="0" xfId="0" applyFont="1" applyFill="1" applyAlignment="1">
      <alignment horizontal="center" vertical="center"/>
    </xf>
    <xf numFmtId="0" fontId="27" fillId="10" borderId="0" xfId="0" applyFont="1" applyFill="1" applyAlignment="1">
      <alignment horizontal="center" vertical="center"/>
    </xf>
    <xf numFmtId="169" fontId="29" fillId="0" borderId="9" xfId="0" applyNumberFormat="1" applyFont="1" applyBorder="1" applyAlignment="1">
      <alignment horizontal="center" vertical="center"/>
    </xf>
    <xf numFmtId="0" fontId="28" fillId="0" borderId="8" xfId="0" applyFont="1" applyBorder="1" applyAlignment="1">
      <alignment horizontal="center" vertical="center"/>
    </xf>
    <xf numFmtId="0" fontId="0" fillId="0" borderId="15" xfId="0" applyBorder="1"/>
    <xf numFmtId="0" fontId="27" fillId="9" borderId="0" xfId="0" applyFont="1" applyFill="1" applyAlignment="1">
      <alignment horizontal="center" vertical="center"/>
    </xf>
    <xf numFmtId="0" fontId="27" fillId="11" borderId="0" xfId="0" applyFont="1" applyFill="1" applyAlignment="1">
      <alignment horizontal="center" vertical="center"/>
    </xf>
    <xf numFmtId="169" fontId="29" fillId="0" borderId="7" xfId="0" applyNumberFormat="1" applyFont="1" applyBorder="1" applyAlignment="1">
      <alignment horizontal="center" vertical="center"/>
    </xf>
    <xf numFmtId="0" fontId="0" fillId="0" borderId="17" xfId="0" applyBorder="1"/>
    <xf numFmtId="0" fontId="27" fillId="8" borderId="0" xfId="0" applyFont="1" applyFill="1" applyAlignment="1">
      <alignment horizontal="center" vertical="center"/>
    </xf>
    <xf numFmtId="0" fontId="28" fillId="0" borderId="6" xfId="0" applyFont="1" applyBorder="1" applyAlignment="1">
      <alignment horizontal="center" vertical="center"/>
    </xf>
    <xf numFmtId="169" fontId="38" fillId="0" borderId="6" xfId="0" applyNumberFormat="1" applyFont="1" applyBorder="1" applyAlignment="1">
      <alignment horizontal="center" vertical="center"/>
    </xf>
    <xf numFmtId="0" fontId="0" fillId="0" borderId="19" xfId="0" applyBorder="1"/>
    <xf numFmtId="0" fontId="35" fillId="0" borderId="0" xfId="0" applyFont="1" applyAlignment="1">
      <alignment horizontal="center" vertical="center"/>
    </xf>
    <xf numFmtId="0" fontId="34" fillId="0" borderId="0" xfId="0" applyFont="1" applyAlignment="1">
      <alignment horizontal="center" vertical="center"/>
    </xf>
    <xf numFmtId="169" fontId="38" fillId="0" borderId="5" xfId="0" applyNumberFormat="1" applyFont="1" applyBorder="1" applyAlignment="1">
      <alignment horizontal="center" vertical="center"/>
    </xf>
    <xf numFmtId="0" fontId="0" fillId="0" borderId="20" xfId="0" applyBorder="1"/>
    <xf numFmtId="0" fontId="39" fillId="0" borderId="0" xfId="0" applyFont="1" applyAlignment="1">
      <alignment horizontal="center" vertical="center"/>
    </xf>
    <xf numFmtId="0" fontId="14" fillId="0" borderId="0" xfId="0" applyFont="1" applyAlignment="1">
      <alignment horizontal="left"/>
    </xf>
    <xf numFmtId="0" fontId="4" fillId="0" borderId="1" xfId="0" applyFont="1" applyBorder="1"/>
    <xf numFmtId="0" fontId="0" fillId="0" borderId="3" xfId="0" applyBorder="1"/>
    <xf numFmtId="0" fontId="11" fillId="0" borderId="2" xfId="0" applyFont="1" applyBorder="1"/>
    <xf numFmtId="0" fontId="0" fillId="0" borderId="2" xfId="0" applyBorder="1"/>
    <xf numFmtId="166" fontId="13" fillId="5" borderId="1" xfId="0" applyNumberFormat="1" applyFont="1" applyFill="1" applyBorder="1" applyAlignment="1">
      <alignment horizontal="center" vertical="center"/>
    </xf>
    <xf numFmtId="165" fontId="13" fillId="5" borderId="1" xfId="0" applyNumberFormat="1" applyFont="1" applyFill="1" applyBorder="1" applyAlignment="1">
      <alignment horizontal="center" vertical="center"/>
    </xf>
    <xf numFmtId="0" fontId="7" fillId="5" borderId="1" xfId="0" applyFont="1" applyFill="1" applyBorder="1" applyAlignment="1">
      <alignment horizontal="center" vertical="center"/>
    </xf>
    <xf numFmtId="0" fontId="12" fillId="3" borderId="1" xfId="0" applyFont="1" applyFill="1" applyBorder="1"/>
    <xf numFmtId="164" fontId="13" fillId="5" borderId="1" xfId="0" applyNumberFormat="1" applyFont="1" applyFill="1" applyBorder="1" applyAlignment="1">
      <alignment horizontal="center" vertical="center"/>
    </xf>
    <xf numFmtId="0" fontId="9" fillId="4" borderId="1" xfId="0" applyFont="1" applyFill="1" applyBorder="1" applyAlignment="1">
      <alignment horizontal="center"/>
    </xf>
    <xf numFmtId="0" fontId="6" fillId="0" borderId="0" xfId="0" applyFont="1"/>
    <xf numFmtId="0" fontId="5" fillId="2" borderId="0" xfId="0" applyFont="1" applyFill="1" applyAlignment="1">
      <alignment vertical="center" indent="1"/>
    </xf>
    <xf numFmtId="0" fontId="8" fillId="0" borderId="0" xfId="0" applyFont="1"/>
    <xf numFmtId="3" fontId="13" fillId="5" borderId="1" xfId="0" applyNumberFormat="1" applyFont="1" applyFill="1" applyBorder="1" applyAlignment="1">
      <alignment horizontal="center" vertical="center"/>
    </xf>
    <xf numFmtId="0" fontId="8" fillId="0" borderId="0" xfId="0" applyFont="1" applyAlignment="1">
      <alignment vertical="center" wrapText="1"/>
    </xf>
    <xf numFmtId="0" fontId="17" fillId="0" borderId="0" xfId="0" applyFont="1" applyAlignment="1">
      <alignment vertical="top" wrapText="1"/>
    </xf>
    <xf numFmtId="0" fontId="37" fillId="0" borderId="25" xfId="0" applyFont="1" applyBorder="1" applyAlignment="1">
      <alignment horizontal="left" vertical="center"/>
    </xf>
    <xf numFmtId="166" fontId="40" fillId="14" borderId="0" xfId="0" applyNumberFormat="1" applyFont="1" applyFill="1" applyAlignment="1">
      <alignment horizontal="center" vertical="center"/>
    </xf>
    <xf numFmtId="0" fontId="41" fillId="14" borderId="0" xfId="0" applyFont="1" applyFill="1"/>
    <xf numFmtId="0" fontId="33" fillId="0" borderId="21" xfId="0" applyFont="1" applyBorder="1" applyAlignment="1">
      <alignment horizontal="center" vertical="center"/>
    </xf>
    <xf numFmtId="0" fontId="0" fillId="0" borderId="22" xfId="0" applyBorder="1" applyAlignment="1">
      <alignment horizontal="center"/>
    </xf>
    <xf numFmtId="0" fontId="0" fillId="0" borderId="23" xfId="0" applyBorder="1" applyAlignment="1">
      <alignment horizontal="center"/>
    </xf>
    <xf numFmtId="0" fontId="36" fillId="0" borderId="26" xfId="0" applyFont="1" applyBorder="1" applyAlignment="1">
      <alignment horizontal="center" vertical="center"/>
    </xf>
    <xf numFmtId="0" fontId="36" fillId="0" borderId="24" xfId="0" applyFont="1" applyBorder="1" applyAlignment="1">
      <alignment horizontal="center" vertical="center"/>
    </xf>
  </cellXfs>
  <cellStyles count="1">
    <cellStyle name="Normal" xfId="0" builtinId="0"/>
  </cellStyles>
  <dxfs count="20">
    <dxf>
      <fill>
        <patternFill>
          <bgColor rgb="FFFFE08A"/>
        </patternFill>
      </fill>
    </dxf>
    <dxf>
      <fill>
        <patternFill>
          <bgColor rgb="FFF8B4B4"/>
        </patternFill>
      </fill>
    </dxf>
    <dxf>
      <fill>
        <patternFill>
          <bgColor rgb="FFBFE5C8"/>
        </patternFill>
      </fill>
    </dxf>
    <dxf>
      <fill>
        <patternFill>
          <bgColor rgb="FFF8B4B4"/>
        </patternFill>
      </fill>
    </dxf>
    <dxf>
      <fill>
        <patternFill>
          <bgColor rgb="FFBFE5C8"/>
        </patternFill>
      </fill>
    </dxf>
    <dxf>
      <fill>
        <patternFill>
          <bgColor rgb="FFFBC98E"/>
        </patternFill>
      </fill>
    </dxf>
    <dxf>
      <fill>
        <patternFill>
          <bgColor rgb="FFBFE5C8"/>
        </patternFill>
      </fill>
    </dxf>
    <dxf>
      <fill>
        <patternFill>
          <bgColor rgb="FFFFE08A"/>
        </patternFill>
      </fill>
    </dxf>
    <dxf>
      <fill>
        <patternFill>
          <bgColor rgb="FFF8B4B4"/>
        </patternFill>
      </fill>
    </dxf>
    <dxf>
      <fill>
        <patternFill>
          <bgColor rgb="FFF8B4B4"/>
        </patternFill>
      </fill>
    </dxf>
    <dxf>
      <fill>
        <patternFill>
          <bgColor rgb="FFBFE5C8"/>
        </patternFill>
      </fill>
    </dxf>
    <dxf>
      <fill>
        <patternFill>
          <bgColor rgb="FFFFE08A"/>
        </patternFill>
      </fill>
    </dxf>
    <dxf>
      <fill>
        <patternFill>
          <bgColor rgb="FFFFE08A"/>
        </patternFill>
      </fill>
    </dxf>
    <dxf>
      <fill>
        <patternFill>
          <bgColor rgb="FFF8B4B4"/>
        </patternFill>
      </fill>
    </dxf>
    <dxf>
      <fill>
        <patternFill>
          <bgColor rgb="FFF8B4B4"/>
        </patternFill>
      </fill>
    </dxf>
    <dxf>
      <fill>
        <patternFill>
          <bgColor rgb="FFFFE08A"/>
        </patternFill>
      </fill>
    </dxf>
    <dxf>
      <fill>
        <patternFill>
          <bgColor rgb="FFBFE5C8"/>
        </patternFill>
      </fill>
    </dxf>
    <dxf>
      <fill>
        <patternFill>
          <bgColor rgb="FFFFE08A"/>
        </patternFill>
      </fill>
    </dxf>
    <dxf>
      <fill>
        <patternFill>
          <bgColor rgb="FFF8B4B4"/>
        </patternFill>
      </fill>
    </dxf>
    <dxf>
      <fill>
        <patternFill>
          <bgColor rgb="FFF8B4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7D1"/>
      <rgbColor rgb="FF878787"/>
      <rgbColor rgb="FF9999FF"/>
      <rgbColor rgb="FFC0504D"/>
      <rgbColor rgb="FFFFF8CC"/>
      <rgbColor rgb="FFEEF3F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9F9F9"/>
      <rgbColor rgb="FFBFE5C8"/>
      <rgbColor rgb="FFFFE08A"/>
      <rgbColor rgb="FF99CCFF"/>
      <rgbColor rgb="FFF8B4B4"/>
      <rgbColor rgb="FFCC99FF"/>
      <rgbColor rgb="FFFBC98E"/>
      <rgbColor rgb="FF4F81BD"/>
      <rgbColor rgb="FF33CCCC"/>
      <rgbColor rgb="FF99CC00"/>
      <rgbColor rgb="FFFFCC00"/>
      <rgbColor rgb="FFC98A00"/>
      <rgbColor rgb="FFFF6600"/>
      <rgbColor rgb="FF5B7083"/>
      <rgbColor rgb="FF969696"/>
      <rgbColor rgb="FF1F3A5F"/>
      <rgbColor rgb="FF2E8B57"/>
      <rgbColor rgb="FF003300"/>
      <rgbColor rgb="FF333300"/>
      <rgbColor rgb="FF993300"/>
      <rgbColor rgb="FF993366"/>
      <rgbColor rgb="FF55606E"/>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s-CL" sz="1800" b="1" strike="noStrike" spc="-1">
                <a:solidFill>
                  <a:srgbClr val="000000"/>
                </a:solidFill>
                <a:latin typeface="Calibri"/>
              </a:rPr>
              <a:t>OT ingresadas por mes (según filtros)</a:t>
            </a:r>
          </a:p>
        </c:rich>
      </c:tx>
      <c:overlay val="0"/>
      <c:spPr>
        <a:noFill/>
        <a:ln w="0">
          <a:noFill/>
          <a:prstDash val="solid"/>
        </a:ln>
      </c:spPr>
    </c:title>
    <c:autoTitleDeleted val="0"/>
    <c:plotArea>
      <c:layout/>
      <c:barChart>
        <c:barDir val="col"/>
        <c:grouping val="clustered"/>
        <c:varyColors val="0"/>
        <c:ser>
          <c:idx val="0"/>
          <c:order val="0"/>
          <c:tx>
            <c:strRef>
              <c:f>Dashboard!$P$8</c:f>
              <c:strCache>
                <c:ptCount val="1"/>
                <c:pt idx="0">
                  <c:v>N° OT</c:v>
                </c:pt>
              </c:strCache>
            </c:strRef>
          </c:tx>
          <c:spPr>
            <a:solidFill>
              <a:srgbClr val="4F81BD"/>
            </a:solidFill>
            <a:ln w="9360">
              <a:solidFill>
                <a:srgbClr val="F9F9F9"/>
              </a:solidFill>
              <a:prstDash val="solid"/>
              <a:round/>
            </a:ln>
          </c:spPr>
          <c:invertIfNegative val="0"/>
          <c:dLbls>
            <c:spPr>
              <a:noFill/>
              <a:ln>
                <a:noFill/>
                <a:prstDash val="solid"/>
              </a:ln>
            </c:spPr>
            <c:txPr>
              <a:bodyPr wrap="square"/>
              <a:lstStyle/>
              <a:p>
                <a:pPr>
                  <a:defRPr sz="1000" b="0" strike="noStrike" spc="-1">
                    <a:solidFill>
                      <a:srgbClr val="000000"/>
                    </a:solidFill>
                    <a:latin typeface="Calibri"/>
                  </a:defRPr>
                </a:pPr>
                <a:endParaRPr lang="es-CL"/>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Dashboard!$O$9:$O$14</c:f>
              <c:strCache>
                <c:ptCount val="6"/>
                <c:pt idx="0">
                  <c:v>2026-05</c:v>
                </c:pt>
                <c:pt idx="1">
                  <c:v>2026-06</c:v>
                </c:pt>
                <c:pt idx="2">
                  <c:v>2026-07</c:v>
                </c:pt>
                <c:pt idx="3">
                  <c:v>2026-08</c:v>
                </c:pt>
                <c:pt idx="4">
                  <c:v>2026-09</c:v>
                </c:pt>
                <c:pt idx="5">
                  <c:v>2026-10</c:v>
                </c:pt>
              </c:strCache>
            </c:strRef>
          </c:cat>
          <c:val>
            <c:numRef>
              <c:f>Dashboard!$P$9:$P$14</c:f>
              <c:numCache>
                <c:formatCode>General</c:formatCode>
                <c:ptCount val="6"/>
                <c:pt idx="0">
                  <c:v>26</c:v>
                </c:pt>
                <c:pt idx="1">
                  <c:v>23</c:v>
                </c:pt>
                <c:pt idx="2">
                  <c:v>37</c:v>
                </c:pt>
                <c:pt idx="3">
                  <c:v>40</c:v>
                </c:pt>
                <c:pt idx="4">
                  <c:v>34</c:v>
                </c:pt>
                <c:pt idx="5">
                  <c:v>20</c:v>
                </c:pt>
              </c:numCache>
            </c:numRef>
          </c:val>
          <c:extLst>
            <c:ext xmlns:c16="http://schemas.microsoft.com/office/drawing/2014/chart" uri="{C3380CC4-5D6E-409C-BE32-E72D297353CC}">
              <c16:uniqueId val="{00000000-B1AF-4457-AFB5-AB0342BE2095}"/>
            </c:ext>
          </c:extLst>
        </c:ser>
        <c:dLbls>
          <c:showLegendKey val="0"/>
          <c:showVal val="0"/>
          <c:showCatName val="0"/>
          <c:showSerName val="0"/>
          <c:showPercent val="0"/>
          <c:showBubbleSize val="0"/>
        </c:dLbls>
        <c:gapWidth val="150"/>
        <c:axId val="27646383"/>
        <c:axId val="89970412"/>
      </c:barChart>
      <c:catAx>
        <c:axId val="27646383"/>
        <c:scaling>
          <c:orientation val="minMax"/>
        </c:scaling>
        <c:delete val="0"/>
        <c:axPos val="b"/>
        <c:numFmt formatCode="General"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s-CL"/>
          </a:p>
        </c:txPr>
        <c:crossAx val="89970412"/>
        <c:crosses val="autoZero"/>
        <c:auto val="1"/>
        <c:lblAlgn val="ctr"/>
        <c:lblOffset val="100"/>
        <c:noMultiLvlLbl val="0"/>
      </c:catAx>
      <c:valAx>
        <c:axId val="89970412"/>
        <c:scaling>
          <c:orientation val="minMax"/>
        </c:scaling>
        <c:delete val="0"/>
        <c:axPos val="l"/>
        <c:majorGridlines>
          <c:spPr>
            <a:ln w="9360">
              <a:solidFill>
                <a:srgbClr val="878787"/>
              </a:solidFill>
              <a:prstDash val="solid"/>
              <a:round/>
            </a:ln>
          </c:spPr>
        </c:majorGridlines>
        <c:numFmt formatCode="General"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s-CL"/>
          </a:p>
        </c:txPr>
        <c:crossAx val="27646383"/>
        <c:crosses val="autoZero"/>
        <c:crossBetween val="between"/>
      </c:valAx>
    </c:plotArea>
    <c:plotVisOnly val="1"/>
    <c:dispBlanksAs val="gap"/>
    <c:showDLblsOverMax val="0"/>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s-CL" sz="1800" b="1" strike="noStrike" spc="-1">
                <a:solidFill>
                  <a:srgbClr val="000000"/>
                </a:solidFill>
                <a:latin typeface="Calibri"/>
              </a:rPr>
              <a:t>Cobrable vs costos directos por mes ($)</a:t>
            </a:r>
          </a:p>
        </c:rich>
      </c:tx>
      <c:overlay val="0"/>
      <c:spPr>
        <a:noFill/>
        <a:ln w="0">
          <a:noFill/>
          <a:prstDash val="solid"/>
        </a:ln>
      </c:spPr>
    </c:title>
    <c:autoTitleDeleted val="0"/>
    <c:plotArea>
      <c:layout/>
      <c:barChart>
        <c:barDir val="col"/>
        <c:grouping val="clustered"/>
        <c:varyColors val="0"/>
        <c:ser>
          <c:idx val="0"/>
          <c:order val="0"/>
          <c:tx>
            <c:strRef>
              <c:f>Dashboard!$Q$8</c:f>
              <c:strCache>
                <c:ptCount val="1"/>
                <c:pt idx="0">
                  <c:v>Importe cobrable</c:v>
                </c:pt>
              </c:strCache>
            </c:strRef>
          </c:tx>
          <c:spPr>
            <a:solidFill>
              <a:srgbClr val="4F81BD"/>
            </a:solidFill>
            <a:ln w="9360">
              <a:solidFill>
                <a:srgbClr val="F9F9F9"/>
              </a:solidFill>
              <a:prstDash val="solid"/>
              <a:round/>
            </a:ln>
          </c:spPr>
          <c:invertIfNegative val="0"/>
          <c:dLbls>
            <c:spPr>
              <a:noFill/>
              <a:ln>
                <a:noFill/>
                <a:prstDash val="solid"/>
              </a:ln>
            </c:spPr>
            <c:txPr>
              <a:bodyPr/>
              <a:lstStyle/>
              <a:p>
                <a:pPr>
                  <a:defRPr sz="1000" b="0" strike="noStrike" spc="-1">
                    <a:latin typeface="Arial"/>
                  </a:defRPr>
                </a:pPr>
                <a:endParaRPr lang="es-CL"/>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Dashboard!$O$9:$O$14</c:f>
              <c:strCache>
                <c:ptCount val="6"/>
                <c:pt idx="0">
                  <c:v>2026-05</c:v>
                </c:pt>
                <c:pt idx="1">
                  <c:v>2026-06</c:v>
                </c:pt>
                <c:pt idx="2">
                  <c:v>2026-07</c:v>
                </c:pt>
                <c:pt idx="3">
                  <c:v>2026-08</c:v>
                </c:pt>
                <c:pt idx="4">
                  <c:v>2026-09</c:v>
                </c:pt>
                <c:pt idx="5">
                  <c:v>2026-10</c:v>
                </c:pt>
              </c:strCache>
            </c:strRef>
          </c:cat>
          <c:val>
            <c:numRef>
              <c:f>Dashboard!$Q$9:$Q$14</c:f>
              <c:numCache>
                <c:formatCode>\$#,##0</c:formatCode>
                <c:ptCount val="6"/>
                <c:pt idx="0">
                  <c:v>15213860</c:v>
                </c:pt>
                <c:pt idx="1">
                  <c:v>13115210</c:v>
                </c:pt>
                <c:pt idx="2">
                  <c:v>21340780</c:v>
                </c:pt>
                <c:pt idx="3">
                  <c:v>21826420</c:v>
                </c:pt>
                <c:pt idx="4">
                  <c:v>25884000</c:v>
                </c:pt>
                <c:pt idx="5">
                  <c:v>12912510</c:v>
                </c:pt>
              </c:numCache>
            </c:numRef>
          </c:val>
          <c:extLst>
            <c:ext xmlns:c16="http://schemas.microsoft.com/office/drawing/2014/chart" uri="{C3380CC4-5D6E-409C-BE32-E72D297353CC}">
              <c16:uniqueId val="{00000000-F311-45D6-8943-7AB5FC0334CB}"/>
            </c:ext>
          </c:extLst>
        </c:ser>
        <c:ser>
          <c:idx val="1"/>
          <c:order val="1"/>
          <c:tx>
            <c:strRef>
              <c:f>Dashboard!$R$8</c:f>
              <c:strCache>
                <c:ptCount val="1"/>
                <c:pt idx="0">
                  <c:v>Costos directos</c:v>
                </c:pt>
              </c:strCache>
            </c:strRef>
          </c:tx>
          <c:spPr>
            <a:solidFill>
              <a:srgbClr val="C0504D"/>
            </a:solidFill>
            <a:ln w="9360">
              <a:solidFill>
                <a:srgbClr val="F9F9F9"/>
              </a:solidFill>
              <a:prstDash val="solid"/>
              <a:round/>
            </a:ln>
          </c:spPr>
          <c:invertIfNegative val="0"/>
          <c:dLbls>
            <c:spPr>
              <a:noFill/>
              <a:ln>
                <a:noFill/>
                <a:prstDash val="solid"/>
              </a:ln>
            </c:spPr>
            <c:txPr>
              <a:bodyPr/>
              <a:lstStyle/>
              <a:p>
                <a:pPr>
                  <a:defRPr sz="1000" b="0" strike="noStrike" spc="-1">
                    <a:latin typeface="Arial"/>
                  </a:defRPr>
                </a:pPr>
                <a:endParaRPr lang="es-CL"/>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Dashboard!$O$9:$O$14</c:f>
              <c:strCache>
                <c:ptCount val="6"/>
                <c:pt idx="0">
                  <c:v>2026-05</c:v>
                </c:pt>
                <c:pt idx="1">
                  <c:v>2026-06</c:v>
                </c:pt>
                <c:pt idx="2">
                  <c:v>2026-07</c:v>
                </c:pt>
                <c:pt idx="3">
                  <c:v>2026-08</c:v>
                </c:pt>
                <c:pt idx="4">
                  <c:v>2026-09</c:v>
                </c:pt>
                <c:pt idx="5">
                  <c:v>2026-10</c:v>
                </c:pt>
              </c:strCache>
            </c:strRef>
          </c:cat>
          <c:val>
            <c:numRef>
              <c:f>Dashboard!$R$9:$R$14</c:f>
              <c:numCache>
                <c:formatCode>\$#,##0</c:formatCode>
                <c:ptCount val="6"/>
                <c:pt idx="0">
                  <c:v>9953510</c:v>
                </c:pt>
                <c:pt idx="1">
                  <c:v>9010480</c:v>
                </c:pt>
                <c:pt idx="2">
                  <c:v>15380320</c:v>
                </c:pt>
                <c:pt idx="3">
                  <c:v>14343140</c:v>
                </c:pt>
                <c:pt idx="4">
                  <c:v>18609970</c:v>
                </c:pt>
                <c:pt idx="5">
                  <c:v>8492980</c:v>
                </c:pt>
              </c:numCache>
            </c:numRef>
          </c:val>
          <c:extLst>
            <c:ext xmlns:c16="http://schemas.microsoft.com/office/drawing/2014/chart" uri="{C3380CC4-5D6E-409C-BE32-E72D297353CC}">
              <c16:uniqueId val="{00000001-F311-45D6-8943-7AB5FC0334CB}"/>
            </c:ext>
          </c:extLst>
        </c:ser>
        <c:dLbls>
          <c:showLegendKey val="0"/>
          <c:showVal val="0"/>
          <c:showCatName val="0"/>
          <c:showSerName val="0"/>
          <c:showPercent val="0"/>
          <c:showBubbleSize val="0"/>
        </c:dLbls>
        <c:gapWidth val="150"/>
        <c:axId val="55335703"/>
        <c:axId val="67856950"/>
      </c:barChart>
      <c:catAx>
        <c:axId val="55335703"/>
        <c:scaling>
          <c:orientation val="minMax"/>
        </c:scaling>
        <c:delete val="0"/>
        <c:axPos val="b"/>
        <c:numFmt formatCode="General"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s-CL"/>
          </a:p>
        </c:txPr>
        <c:crossAx val="67856950"/>
        <c:crosses val="autoZero"/>
        <c:auto val="1"/>
        <c:lblAlgn val="ctr"/>
        <c:lblOffset val="100"/>
        <c:noMultiLvlLbl val="0"/>
      </c:catAx>
      <c:valAx>
        <c:axId val="67856950"/>
        <c:scaling>
          <c:orientation val="minMax"/>
        </c:scaling>
        <c:delete val="0"/>
        <c:axPos val="l"/>
        <c:majorGridlines>
          <c:spPr>
            <a:ln w="9360">
              <a:solidFill>
                <a:srgbClr val="878787"/>
              </a:solidFill>
              <a:prstDash val="solid"/>
              <a:round/>
            </a:ln>
          </c:spPr>
        </c:majorGridlines>
        <c:numFmt formatCode="\$#,##0" sourceLinked="0"/>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s-CL"/>
          </a:p>
        </c:txPr>
        <c:crossAx val="55335703"/>
        <c:crosses val="autoZero"/>
        <c:crossBetween val="between"/>
      </c:valAx>
    </c:plotArea>
    <c:legend>
      <c:legendPos val="b"/>
      <c:overlay val="0"/>
      <c:spPr>
        <a:noFill/>
        <a:ln w="0">
          <a:noFill/>
          <a:prstDash val="solid"/>
        </a:ln>
      </c:spPr>
      <c:txPr>
        <a:bodyPr/>
        <a:lstStyle/>
        <a:p>
          <a:pPr>
            <a:defRPr sz="1000" b="0" strike="noStrike" spc="-1">
              <a:solidFill>
                <a:srgbClr val="000000"/>
              </a:solidFill>
              <a:latin typeface="Calibri"/>
            </a:defRPr>
          </a:pPr>
          <a:endParaRPr lang="es-CL"/>
        </a:p>
      </c:txPr>
    </c:legend>
    <c:plotVisOnly val="1"/>
    <c:dispBlanksAs val="gap"/>
    <c:showDLblsOverMax val="0"/>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s-CL" sz="1800" b="1" strike="noStrike" spc="-1">
                <a:solidFill>
                  <a:srgbClr val="000000"/>
                </a:solidFill>
                <a:latin typeface="Calibri"/>
              </a:rPr>
              <a:t>Top 5 repuestos por costo de consumo ($)</a:t>
            </a:r>
          </a:p>
        </c:rich>
      </c:tx>
      <c:overlay val="0"/>
      <c:spPr>
        <a:noFill/>
        <a:ln w="0">
          <a:noFill/>
          <a:prstDash val="solid"/>
        </a:ln>
      </c:spPr>
    </c:title>
    <c:autoTitleDeleted val="0"/>
    <c:plotArea>
      <c:layout/>
      <c:barChart>
        <c:barDir val="bar"/>
        <c:grouping val="clustered"/>
        <c:varyColors val="0"/>
        <c:ser>
          <c:idx val="0"/>
          <c:order val="0"/>
          <c:spPr>
            <a:solidFill>
              <a:srgbClr val="4F81BD"/>
            </a:solidFill>
            <a:ln w="9360">
              <a:solidFill>
                <a:srgbClr val="F9F9F9"/>
              </a:solidFill>
              <a:prstDash val="solid"/>
              <a:round/>
            </a:ln>
          </c:spPr>
          <c:invertIfNegative val="0"/>
          <c:dLbls>
            <c:spPr>
              <a:noFill/>
              <a:ln>
                <a:noFill/>
                <a:prstDash val="solid"/>
              </a:ln>
            </c:spPr>
            <c:txPr>
              <a:bodyPr/>
              <a:lstStyle/>
              <a:p>
                <a:pPr>
                  <a:defRPr sz="1000" b="0" strike="noStrike" spc="-1">
                    <a:latin typeface="Arial"/>
                  </a:defRPr>
                </a:pPr>
                <a:endParaRPr lang="es-CL"/>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Dashboard!$H$17:$H$21</c:f>
              <c:strCache>
                <c:ptCount val="5"/>
                <c:pt idx="0">
                  <c:v>Parabrisas panorámico</c:v>
                </c:pt>
                <c:pt idx="1">
                  <c:v>Balón neumático (fuelle)</c:v>
                </c:pt>
                <c:pt idx="2">
                  <c:v>Panel lateral de fibra</c:v>
                </c:pt>
                <c:pt idx="3">
                  <c:v>Luneta trasera</c:v>
                </c:pt>
                <c:pt idx="4">
                  <c:v>Aceite de caja 80W90</c:v>
                </c:pt>
              </c:strCache>
            </c:strRef>
          </c:cat>
          <c:val>
            <c:numRef>
              <c:f>Dashboard!$J$17:$J$21</c:f>
              <c:numCache>
                <c:formatCode>\$#,##0</c:formatCode>
                <c:ptCount val="5"/>
                <c:pt idx="0">
                  <c:v>6765540</c:v>
                </c:pt>
                <c:pt idx="1">
                  <c:v>5065910</c:v>
                </c:pt>
                <c:pt idx="2">
                  <c:v>4140070</c:v>
                </c:pt>
                <c:pt idx="3">
                  <c:v>2767420</c:v>
                </c:pt>
                <c:pt idx="4">
                  <c:v>2648980</c:v>
                </c:pt>
              </c:numCache>
            </c:numRef>
          </c:val>
          <c:extLst>
            <c:ext xmlns:c16="http://schemas.microsoft.com/office/drawing/2014/chart" uri="{C3380CC4-5D6E-409C-BE32-E72D297353CC}">
              <c16:uniqueId val="{00000000-0243-400C-954C-9A9A2E252333}"/>
            </c:ext>
          </c:extLst>
        </c:ser>
        <c:dLbls>
          <c:showLegendKey val="0"/>
          <c:showVal val="0"/>
          <c:showCatName val="0"/>
          <c:showSerName val="0"/>
          <c:showPercent val="0"/>
          <c:showBubbleSize val="0"/>
        </c:dLbls>
        <c:gapWidth val="150"/>
        <c:axId val="95294800"/>
        <c:axId val="30136484"/>
      </c:barChart>
      <c:catAx>
        <c:axId val="95294800"/>
        <c:scaling>
          <c:orientation val="maxMin"/>
        </c:scaling>
        <c:delete val="0"/>
        <c:axPos val="l"/>
        <c:numFmt formatCode="General"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s-CL"/>
          </a:p>
        </c:txPr>
        <c:crossAx val="30136484"/>
        <c:crosses val="autoZero"/>
        <c:auto val="1"/>
        <c:lblAlgn val="ctr"/>
        <c:lblOffset val="100"/>
        <c:noMultiLvlLbl val="0"/>
      </c:catAx>
      <c:valAx>
        <c:axId val="30136484"/>
        <c:scaling>
          <c:orientation val="minMax"/>
        </c:scaling>
        <c:delete val="0"/>
        <c:axPos val="t"/>
        <c:majorGridlines>
          <c:spPr>
            <a:ln w="9360">
              <a:solidFill>
                <a:srgbClr val="878787"/>
              </a:solidFill>
              <a:prstDash val="solid"/>
              <a:round/>
            </a:ln>
          </c:spPr>
        </c:majorGridlines>
        <c:numFmt formatCode="\$#,##0" sourceLinked="0"/>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s-CL"/>
          </a:p>
        </c:txPr>
        <c:crossAx val="95294800"/>
        <c:crosses val="autoZero"/>
        <c:crossBetween val="between"/>
      </c:valAx>
    </c:plotArea>
    <c:plotVisOnly val="1"/>
    <c:dispBlanksAs val="gap"/>
    <c:showDLblsOverMax val="0"/>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s-CL"/>
              <a:t>Evolución de Facturación Mensual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CL"/>
        </a:p>
      </c:txPr>
    </c:title>
    <c:autoTitleDeleted val="0"/>
    <c:plotArea>
      <c:layout/>
      <c:barChart>
        <c:barDir val="col"/>
        <c:grouping val="clustered"/>
        <c:varyColors val="0"/>
        <c:ser>
          <c:idx val="0"/>
          <c:order val="0"/>
          <c:tx>
            <c:strRef>
              <c:f>Dashboard_Graficos!$C$5</c:f>
              <c:strCache>
                <c:ptCount val="1"/>
                <c:pt idx="0">
                  <c:v>Monto Facturado ($)</c:v>
                </c:pt>
              </c:strCache>
            </c:strRef>
          </c:tx>
          <c:spPr>
            <a:solidFill>
              <a:schemeClr val="accent1"/>
            </a:solidFill>
            <a:ln>
              <a:noFill/>
            </a:ln>
            <a:effectLst/>
          </c:spPr>
          <c:invertIfNegative val="0"/>
          <c:dLbls>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Dashboard_Graficos!$B$6:$B$11</c:f>
              <c:strCache>
                <c:ptCount val="6"/>
                <c:pt idx="0">
                  <c:v>2026-05</c:v>
                </c:pt>
                <c:pt idx="1">
                  <c:v>2026-06</c:v>
                </c:pt>
                <c:pt idx="2">
                  <c:v>2026-07</c:v>
                </c:pt>
                <c:pt idx="3">
                  <c:v>2026-08</c:v>
                </c:pt>
                <c:pt idx="4">
                  <c:v>2026-09</c:v>
                </c:pt>
                <c:pt idx="5">
                  <c:v>2026-10</c:v>
                </c:pt>
              </c:strCache>
            </c:strRef>
          </c:cat>
          <c:val>
            <c:numRef>
              <c:f>Dashboard_Graficos!$C$6:$C$11</c:f>
              <c:numCache>
                <c:formatCode>"$"#,##0</c:formatCode>
                <c:ptCount val="6"/>
                <c:pt idx="0">
                  <c:v>14788190</c:v>
                </c:pt>
                <c:pt idx="1">
                  <c:v>11815630</c:v>
                </c:pt>
                <c:pt idx="2">
                  <c:v>20371780</c:v>
                </c:pt>
                <c:pt idx="3">
                  <c:v>19596030</c:v>
                </c:pt>
                <c:pt idx="4">
                  <c:v>21306950</c:v>
                </c:pt>
                <c:pt idx="5">
                  <c:v>5763320</c:v>
                </c:pt>
              </c:numCache>
            </c:numRef>
          </c:val>
          <c:extLst>
            <c:ext xmlns:c16="http://schemas.microsoft.com/office/drawing/2014/chart" uri="{C3380CC4-5D6E-409C-BE32-E72D297353CC}">
              <c16:uniqueId val="{00000000-E3EA-4C87-8633-5BA7B7E003D0}"/>
            </c:ext>
          </c:extLst>
        </c:ser>
        <c:dLbls>
          <c:showLegendKey val="0"/>
          <c:showVal val="0"/>
          <c:showCatName val="0"/>
          <c:showSerName val="0"/>
          <c:showPercent val="0"/>
          <c:showBubbleSize val="0"/>
        </c:dLbls>
        <c:gapWidth val="267"/>
        <c:overlap val="-43"/>
        <c:axId val="10"/>
        <c:axId val="100"/>
      </c:barChart>
      <c:catAx>
        <c:axId val="10"/>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s-CL"/>
                  <a:t>Mes de Ingreso</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s-CL"/>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CL"/>
          </a:p>
        </c:txPr>
        <c:crossAx val="100"/>
        <c:crosses val="autoZero"/>
        <c:auto val="0"/>
        <c:lblAlgn val="ctr"/>
        <c:lblOffset val="100"/>
        <c:noMultiLvlLbl val="0"/>
      </c:catAx>
      <c:valAx>
        <c:axId val="100"/>
        <c:scaling>
          <c:orientation val="minMax"/>
        </c:scaling>
        <c:delete val="0"/>
        <c:axPos val="l"/>
        <c:majorGridlines>
          <c:spPr>
            <a:ln w="9525" cap="flat" cmpd="sng" algn="ctr">
              <a:solidFill>
                <a:schemeClr val="dk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crossAx val="10"/>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L"/>
        </a:p>
      </c:txPr>
    </c:title>
    <c:autoTitleDeleted val="0"/>
    <c:plotArea>
      <c:layout/>
      <c:barChart>
        <c:barDir val="bar"/>
        <c:grouping val="clustered"/>
        <c:varyColors val="0"/>
        <c:ser>
          <c:idx val="0"/>
          <c:order val="0"/>
          <c:tx>
            <c:strRef>
              <c:f>Dashboard_Graficos!$C$15</c:f>
              <c:strCache>
                <c:ptCount val="1"/>
                <c:pt idx="0">
                  <c:v>Monto Facturado ($)</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Dashboard_Graficos!$B$16:$B$23</c:f>
              <c:strCache>
                <c:ptCount val="8"/>
                <c:pt idx="0">
                  <c:v>Marcelo Fuentes</c:v>
                </c:pt>
                <c:pt idx="1">
                  <c:v>Cristian Araya</c:v>
                </c:pt>
                <c:pt idx="2">
                  <c:v>Luis Contreras</c:v>
                </c:pt>
                <c:pt idx="3">
                  <c:v>Patricio Rojas</c:v>
                </c:pt>
                <c:pt idx="4">
                  <c:v>Sergio Valdés</c:v>
                </c:pt>
                <c:pt idx="5">
                  <c:v>Daniela Mora</c:v>
                </c:pt>
                <c:pt idx="6">
                  <c:v>Héctor Pizarro</c:v>
                </c:pt>
                <c:pt idx="7">
                  <c:v>Andrea Salinas</c:v>
                </c:pt>
              </c:strCache>
            </c:strRef>
          </c:cat>
          <c:val>
            <c:numRef>
              <c:f>Dashboard_Graficos!$C$16:$C$23</c:f>
              <c:numCache>
                <c:formatCode>"$"#,##0</c:formatCode>
                <c:ptCount val="8"/>
                <c:pt idx="0">
                  <c:v>16388220</c:v>
                </c:pt>
                <c:pt idx="1">
                  <c:v>14376150</c:v>
                </c:pt>
                <c:pt idx="2">
                  <c:v>13057260</c:v>
                </c:pt>
                <c:pt idx="3">
                  <c:v>10856270</c:v>
                </c:pt>
                <c:pt idx="4">
                  <c:v>10847760</c:v>
                </c:pt>
                <c:pt idx="5">
                  <c:v>18254500</c:v>
                </c:pt>
                <c:pt idx="6">
                  <c:v>5105890</c:v>
                </c:pt>
                <c:pt idx="7">
                  <c:v>4755850</c:v>
                </c:pt>
              </c:numCache>
            </c:numRef>
          </c:val>
          <c:extLst>
            <c:ext xmlns:c16="http://schemas.microsoft.com/office/drawing/2014/chart" uri="{C3380CC4-5D6E-409C-BE32-E72D297353CC}">
              <c16:uniqueId val="{00000000-351B-4ACA-83DC-A77F80067B32}"/>
            </c:ext>
          </c:extLst>
        </c:ser>
        <c:dLbls>
          <c:showLegendKey val="0"/>
          <c:showVal val="0"/>
          <c:showCatName val="0"/>
          <c:showSerName val="0"/>
          <c:showPercent val="0"/>
          <c:showBubbleSize val="0"/>
        </c:dLbls>
        <c:gapWidth val="115"/>
        <c:overlap val="-20"/>
        <c:axId val="1399570976"/>
        <c:axId val="173869456"/>
      </c:barChart>
      <c:valAx>
        <c:axId val="173869456"/>
        <c:scaling>
          <c:orientation val="minMax"/>
        </c:scaling>
        <c:delete val="1"/>
        <c:axPos val="b"/>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crossAx val="1399570976"/>
        <c:crossBetween val="between"/>
      </c:valAx>
      <c:catAx>
        <c:axId val="13995709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L"/>
          </a:p>
        </c:txPr>
        <c:crossAx val="173869456"/>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L"/>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40</xdr:row>
      <xdr:rowOff>0</xdr:rowOff>
    </xdr:from>
    <xdr:to>
      <xdr:col>5</xdr:col>
      <xdr:colOff>522720</xdr:colOff>
      <xdr:row>54</xdr:row>
      <xdr:rowOff>32760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40</xdr:row>
      <xdr:rowOff>0</xdr:rowOff>
    </xdr:from>
    <xdr:to>
      <xdr:col>9</xdr:col>
      <xdr:colOff>522360</xdr:colOff>
      <xdr:row>54</xdr:row>
      <xdr:rowOff>32760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40</xdr:row>
      <xdr:rowOff>0</xdr:rowOff>
    </xdr:from>
    <xdr:to>
      <xdr:col>14</xdr:col>
      <xdr:colOff>1157040</xdr:colOff>
      <xdr:row>54</xdr:row>
      <xdr:rowOff>32760</xdr:rowOff>
    </xdr:to>
    <xdr:graphicFrame macro="">
      <xdr:nvGraphicFramePr>
        <xdr:cNvPr id="4" name="Chart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3</xdr:col>
      <xdr:colOff>180975</xdr:colOff>
      <xdr:row>2</xdr:row>
      <xdr:rowOff>190499</xdr:rowOff>
    </xdr:from>
    <xdr:ext cx="7886700" cy="5838825"/>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17</xdr:col>
      <xdr:colOff>66674</xdr:colOff>
      <xdr:row>1</xdr:row>
      <xdr:rowOff>190499</xdr:rowOff>
    </xdr:from>
    <xdr:ext cx="7610476" cy="5038725"/>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ControlMandante" displayName="T_ControlMandante" ref="B15:O195">
  <autoFilter ref="B15:O195" xr:uid="{00000000-0009-0000-0100-000001000000}"/>
  <tableColumns count="14">
    <tableColumn id="2" xr3:uid="{00000000-0010-0000-0000-000002000000}" name="ID OT"/>
    <tableColumn id="3" xr3:uid="{00000000-0010-0000-0000-000003000000}" name="Cliente"/>
    <tableColumn id="4" xr3:uid="{00000000-0010-0000-0000-000004000000}" name="Patente"/>
    <tableColumn id="5" xr3:uid="{00000000-0010-0000-0000-000005000000}" name="Mecánico Responsable"/>
    <tableColumn id="6" xr3:uid="{00000000-0010-0000-0000-000006000000}" name="ID Presupuesto"/>
    <tableColumn id="7" xr3:uid="{00000000-0010-0000-0000-000007000000}" name="Monto Presupuesto"/>
    <tableColumn id="8" xr3:uid="{00000000-0010-0000-0000-000008000000}" name="Estado Presupuesto"/>
    <tableColumn id="9" xr3:uid="{00000000-0010-0000-0000-000009000000}" name="ID OC Mandante"/>
    <tableColumn id="10" xr3:uid="{00000000-0010-0000-0000-00000A000000}" name="Monto OC"/>
    <tableColumn id="11" xr3:uid="{00000000-0010-0000-0000-00000B000000}" name="Estado OC"/>
    <tableColumn id="12" xr3:uid="{00000000-0010-0000-0000-00000C000000}" name="ID Factura"/>
    <tableColumn id="13" xr3:uid="{00000000-0010-0000-0000-00000D000000}" name="Monto Facturado"/>
    <tableColumn id="14" xr3:uid="{00000000-0010-0000-0000-00000E000000}" name="Estado Cuadre 3-Way"/>
    <tableColumn id="15" xr3:uid="{00000000-0010-0000-0000-00000F000000}" name="En Filtro"/>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RendimientoMecanicos" displayName="T_RendimientoMecanicos" ref="B12:K20">
  <autoFilter ref="B12:K20" xr:uid="{00000000-0009-0000-0100-000002000000}"/>
  <tableColumns count="10">
    <tableColumn id="2" xr3:uid="{00000000-0010-0000-0100-000002000000}" name="ID Técnico"/>
    <tableColumn id="3" xr3:uid="{00000000-0010-0000-0100-000003000000}" name="Nombre Mecánico / Vendedor"/>
    <tableColumn id="4" xr3:uid="{00000000-0010-0000-0100-000004000000}" name="Especialidad"/>
    <tableColumn id="5" xr3:uid="{00000000-0010-0000-0100-000005000000}" name="Total OTs"/>
    <tableColumn id="6" xr3:uid="{00000000-0010-0000-0100-000006000000}" name="Preventivos"/>
    <tableColumn id="7" xr3:uid="{00000000-0010-0000-0100-000007000000}" name="Correctivos"/>
    <tableColumn id="8" xr3:uid="{00000000-0010-0000-0100-000008000000}" name="Siniestros"/>
    <tableColumn id="9" xr3:uid="{00000000-0010-0000-0100-000009000000}" name="Facturación Real (OC/Factura) ($)"/>
    <tableColumn id="10" xr3:uid="{00000000-0010-0000-0100-00000A000000}" name="Margen Generado ($)"/>
    <tableColumn id="11" xr3:uid="{00000000-0010-0000-0100-00000B000000}" name="% Aporte Margen Tall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_Clientes" displayName="T_Clientes" ref="A1:D19" totalsRowShown="0">
  <autoFilter ref="A1:D19" xr:uid="{00000000-0009-0000-0100-000003000000}"/>
  <tableColumns count="4">
    <tableColumn id="1" xr3:uid="{00000000-0010-0000-0200-000001000000}" name="ID_Cliente"/>
    <tableColumn id="2" xr3:uid="{00000000-0010-0000-0200-000002000000}" name="Nombre_Cliente"/>
    <tableColumn id="3" xr3:uid="{00000000-0010-0000-0200-000003000000}" name="Categoria"/>
    <tableColumn id="4" xr3:uid="{00000000-0010-0000-0200-000004000000}" name="Contacto"/>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_Tecnicos" displayName="T_Tecnicos" ref="A1:C9" totalsRowShown="0">
  <autoFilter ref="A1:C9" xr:uid="{00000000-0009-0000-0100-000004000000}"/>
  <tableColumns count="3">
    <tableColumn id="1" xr3:uid="{00000000-0010-0000-0300-000001000000}" name="ID_Tecnico"/>
    <tableColumn id="2" xr3:uid="{00000000-0010-0000-0300-000002000000}" name="Nombre_Tecnico"/>
    <tableColumn id="3" xr3:uid="{00000000-0010-0000-0300-000003000000}" name="Especialidad"/>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_Repuestos" displayName="T_Repuestos" ref="A1:I25" totalsRowShown="0">
  <autoFilter ref="A1:I25" xr:uid="{00000000-0009-0000-0100-000005000000}"/>
  <tableColumns count="9">
    <tableColumn id="1" xr3:uid="{00000000-0010-0000-0400-000001000000}" name="ID_Repuesto"/>
    <tableColumn id="2" xr3:uid="{00000000-0010-0000-0400-000002000000}" name="Descripcion_Repuesto"/>
    <tableColumn id="3" xr3:uid="{00000000-0010-0000-0400-000003000000}" name="Categoria"/>
    <tableColumn id="4" xr3:uid="{00000000-0010-0000-0400-000004000000}" name="Costo_Unitario_Referencia"/>
    <tableColumn id="5" xr3:uid="{00000000-0010-0000-0400-000005000000}" name="Unidad_Medida"/>
    <tableColumn id="6" xr3:uid="{00000000-0010-0000-0400-000006000000}" name="Cantidad_Usada"/>
    <tableColumn id="7" xr3:uid="{00000000-0010-0000-0400-000007000000}" name="Costo_Consumo"/>
    <tableColumn id="8" xr3:uid="{00000000-0010-0000-0400-000008000000}" name="Rank_Cantidad"/>
    <tableColumn id="9" xr3:uid="{00000000-0010-0000-0400-000009000000}" name="Rank_Costo"/>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_OrdenesTrabajo" displayName="T_OrdenesTrabajo" ref="A1:AP181">
  <autoFilter ref="A1:AP181" xr:uid="{00000000-0009-0000-0100-000006000000}"/>
  <tableColumns count="42">
    <tableColumn id="1" xr3:uid="{00000000-0010-0000-0500-000001000000}" name="ID_OT"/>
    <tableColumn id="2" xr3:uid="{00000000-0010-0000-0500-000002000000}" name="ID_Cliente"/>
    <tableColumn id="3" xr3:uid="{00000000-0010-0000-0500-000003000000}" name="Patente_Bus"/>
    <tableColumn id="4" xr3:uid="{00000000-0010-0000-0500-000004000000}" name="Tipo_Servicio"/>
    <tableColumn id="5" xr3:uid="{00000000-0010-0000-0500-000005000000}" name="Fecha_Ingreso"/>
    <tableColumn id="6" xr3:uid="{00000000-0010-0000-0500-000006000000}" name="Fecha_Compromiso"/>
    <tableColumn id="7" xr3:uid="{00000000-0010-0000-0500-000007000000}" name="Fecha_Termino"/>
    <tableColumn id="8" xr3:uid="{00000000-0010-0000-0500-000008000000}" name="Responsable_OT"/>
    <tableColumn id="9" xr3:uid="{00000000-0010-0000-0500-000009000000}" name="Estado_OT"/>
    <tableColumn id="10" xr3:uid="{00000000-0010-0000-0500-00000A000000}" name="ID_Presupuesto"/>
    <tableColumn id="11" xr3:uid="{00000000-0010-0000-0500-00000B000000}" name="Fecha_Presupuesto"/>
    <tableColumn id="12" xr3:uid="{00000000-0010-0000-0500-00000C000000}" name="Monto_Presupuesto"/>
    <tableColumn id="13" xr3:uid="{00000000-0010-0000-0500-00000D000000}" name="Estado_Presupuesto"/>
    <tableColumn id="14" xr3:uid="{00000000-0010-0000-0500-00000E000000}" name="ID_OC"/>
    <tableColumn id="15" xr3:uid="{00000000-0010-0000-0500-00000F000000}" name="Fecha_OC"/>
    <tableColumn id="16" xr3:uid="{00000000-0010-0000-0500-000010000000}" name="Monto_OC"/>
    <tableColumn id="17" xr3:uid="{00000000-0010-0000-0500-000011000000}" name="Estado_OC"/>
    <tableColumn id="18" xr3:uid="{00000000-0010-0000-0500-000012000000}" name="ID_Factura"/>
    <tableColumn id="19" xr3:uid="{00000000-0010-0000-0500-000013000000}" name="Fecha_Factura"/>
    <tableColumn id="20" xr3:uid="{00000000-0010-0000-0500-000014000000}" name="Monto_Facturado"/>
    <tableColumn id="21" xr3:uid="{00000000-0010-0000-0500-000015000000}" name="Monto_Pagado"/>
    <tableColumn id="22" xr3:uid="{00000000-0010-0000-0500-000016000000}" name="Saldo_Pendiente"/>
    <tableColumn id="23" xr3:uid="{00000000-0010-0000-0500-000017000000}" name="Estado_Cuadre_3Way"/>
    <tableColumn id="24" xr3:uid="{00000000-0010-0000-0500-000018000000}" name="Monto_Total_Cobrable"/>
    <tableColumn id="25" xr3:uid="{00000000-0010-0000-0500-000019000000}" name="Costo_Materiales"/>
    <tableColumn id="26" xr3:uid="{00000000-0010-0000-0500-00001A000000}" name="Costo_Mano_Obra"/>
    <tableColumn id="27" xr3:uid="{00000000-0010-0000-0500-00001B000000}" name="Margen"/>
    <tableColumn id="28" xr3:uid="{00000000-0010-0000-0500-00001C000000}" name="Margen_Pct"/>
    <tableColumn id="29" xr3:uid="{00000000-0010-0000-0500-00001D000000}" name="Estado_Economico"/>
    <tableColumn id="30" xr3:uid="{00000000-0010-0000-0500-00001E000000}" name="Mes_Ingreso"/>
    <tableColumn id="31" xr3:uid="{00000000-0010-0000-0500-00001F000000}" name="Semana_Ingreso"/>
    <tableColumn id="32" xr3:uid="{00000000-0010-0000-0500-000020000000}" name="Dias_en_Taller"/>
    <tableColumn id="33" xr3:uid="{00000000-0010-0000-0500-000021000000}" name="Cumple_Plazo"/>
    <tableColumn id="34" xr3:uid="{00000000-0010-0000-0500-000022000000}" name="Atrasada_Activa"/>
    <tableColumn id="35" xr3:uid="{00000000-0010-0000-0500-000023000000}" name="Pend_OC"/>
    <tableColumn id="36" xr3:uid="{00000000-0010-0000-0500-000024000000}" name="Pend_Facturacion"/>
    <tableColumn id="37" xr3:uid="{00000000-0010-0000-0500-000025000000}" name="Dato_Incompleto"/>
    <tableColumn id="38" xr3:uid="{00000000-0010-0000-0500-000026000000}" name="En_Filtro"/>
    <tableColumn id="39" xr3:uid="{00000000-0010-0000-0500-000027000000}" name="En_Filtro_Mandante"/>
    <tableColumn id="40" xr3:uid="{00000000-0010-0000-0500-000028000000}" name="Seq_Atrasada"/>
    <tableColumn id="41" xr3:uid="{00000000-0010-0000-0500-000029000000}" name="Seq_Pend_Fact"/>
    <tableColumn id="42" xr3:uid="{00000000-0010-0000-0500-00002A000000}" name="Seq_Incomplet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_DetalleOT" displayName="T_DetalleOT" ref="A1:K592" totalsRowShown="0">
  <autoFilter ref="A1:K592" xr:uid="{00000000-0009-0000-0100-000007000000}"/>
  <tableColumns count="11">
    <tableColumn id="1" xr3:uid="{00000000-0010-0000-0600-000001000000}" name="ID_Detalle"/>
    <tableColumn id="2" xr3:uid="{00000000-0010-0000-0600-000002000000}" name="ID_OT"/>
    <tableColumn id="3" xr3:uid="{00000000-0010-0000-0600-000003000000}" name="Tipo_Concepto"/>
    <tableColumn id="4" xr3:uid="{00000000-0010-0000-0600-000004000000}" name="ID_Repuesto_o_Tecnico"/>
    <tableColumn id="5" xr3:uid="{00000000-0010-0000-0600-000005000000}" name="Cantidad_o_Horas"/>
    <tableColumn id="6" xr3:uid="{00000000-0010-0000-0600-000006000000}" name="Costo_Unitario"/>
    <tableColumn id="7" xr3:uid="{00000000-0010-0000-0600-000007000000}" name="Precio_Cobrado_Unitario"/>
    <tableColumn id="8" xr3:uid="{00000000-0010-0000-0600-000008000000}" name="Costo_Total"/>
    <tableColumn id="9" xr3:uid="{00000000-0010-0000-0600-000009000000}" name="Precio_Total"/>
    <tableColumn id="10" xr3:uid="{00000000-0010-0000-0600-00000A000000}" name="Alerta_Dato"/>
    <tableColumn id="11" xr3:uid="{00000000-0010-0000-0600-00000B000000}" name="En_Filtro"/>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A5F"/>
  </sheetPr>
  <dimension ref="B1:C11"/>
  <sheetViews>
    <sheetView showGridLines="0" tabSelected="1" topLeftCell="A5" zoomScaleNormal="100" workbookViewId="0"/>
  </sheetViews>
  <sheetFormatPr baseColWidth="10" defaultColWidth="8.7109375" defaultRowHeight="15" x14ac:dyDescent="0.25"/>
  <cols>
    <col min="1" max="1" width="3" customWidth="1"/>
    <col min="2" max="2" width="30" customWidth="1"/>
    <col min="3" max="3" width="110" customWidth="1"/>
  </cols>
  <sheetData>
    <row r="1" spans="2:3" ht="19.5" customHeight="1" x14ac:dyDescent="0.3">
      <c r="B1" s="3" t="s">
        <v>67</v>
      </c>
    </row>
    <row r="2" spans="2:3" x14ac:dyDescent="0.25">
      <c r="B2" s="4" t="s">
        <v>68</v>
      </c>
    </row>
    <row r="4" spans="2:3" ht="48" customHeight="1" x14ac:dyDescent="0.25">
      <c r="B4" s="5" t="s">
        <v>69</v>
      </c>
      <c r="C4" s="6" t="s">
        <v>70</v>
      </c>
    </row>
    <row r="5" spans="2:3" ht="117.75" customHeight="1" x14ac:dyDescent="0.25">
      <c r="B5" s="5" t="s">
        <v>71</v>
      </c>
      <c r="C5" s="6" t="s">
        <v>72</v>
      </c>
    </row>
    <row r="6" spans="2:3" ht="75.75" customHeight="1" x14ac:dyDescent="0.25">
      <c r="B6" s="5" t="s">
        <v>73</v>
      </c>
      <c r="C6" s="6" t="s">
        <v>74</v>
      </c>
    </row>
    <row r="7" spans="2:3" ht="75.75" customHeight="1" x14ac:dyDescent="0.25">
      <c r="B7" s="5" t="s">
        <v>75</v>
      </c>
      <c r="C7" s="6" t="s">
        <v>76</v>
      </c>
    </row>
    <row r="8" spans="2:3" ht="117.75" customHeight="1" x14ac:dyDescent="0.25">
      <c r="B8" s="5" t="s">
        <v>77</v>
      </c>
      <c r="C8" s="6" t="s">
        <v>78</v>
      </c>
    </row>
    <row r="9" spans="2:3" ht="103.5" customHeight="1" x14ac:dyDescent="0.25">
      <c r="B9" s="5" t="s">
        <v>79</v>
      </c>
      <c r="C9" s="6" t="s">
        <v>80</v>
      </c>
    </row>
    <row r="10" spans="2:3" ht="103.5" customHeight="1" x14ac:dyDescent="0.25">
      <c r="B10" s="5" t="s">
        <v>81</v>
      </c>
      <c r="C10" s="6" t="s">
        <v>82</v>
      </c>
    </row>
    <row r="11" spans="2:3" ht="48" customHeight="1" x14ac:dyDescent="0.25">
      <c r="B11" s="5" t="s">
        <v>83</v>
      </c>
      <c r="C11" s="6" t="s">
        <v>84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B1:O195"/>
  <sheetViews>
    <sheetView workbookViewId="0"/>
  </sheetViews>
  <sheetFormatPr baseColWidth="10" defaultColWidth="9.140625" defaultRowHeight="15" x14ac:dyDescent="0.25"/>
  <cols>
    <col min="2" max="4" width="18" customWidth="1"/>
    <col min="5" max="5" width="22" customWidth="1"/>
    <col min="6" max="13" width="18" customWidth="1"/>
    <col min="14" max="14" width="25" customWidth="1"/>
    <col min="15" max="15" width="18" customWidth="1"/>
  </cols>
  <sheetData>
    <row r="1" spans="2:15" ht="18.75" x14ac:dyDescent="0.25">
      <c r="B1" s="69" t="s">
        <v>85</v>
      </c>
      <c r="C1" s="56"/>
      <c r="D1" s="56"/>
      <c r="E1" s="56"/>
      <c r="F1" s="56"/>
      <c r="G1" s="56"/>
      <c r="H1" s="56"/>
      <c r="I1" s="56"/>
      <c r="J1" s="56"/>
      <c r="K1" s="56"/>
      <c r="L1" s="56"/>
      <c r="M1" s="56"/>
      <c r="N1" s="56"/>
      <c r="O1" s="56"/>
    </row>
    <row r="2" spans="2:15" x14ac:dyDescent="0.25">
      <c r="B2" s="65" t="s">
        <v>86</v>
      </c>
      <c r="C2" s="56"/>
      <c r="D2" s="56"/>
      <c r="E2" s="56"/>
      <c r="F2" s="56"/>
      <c r="G2" s="56"/>
      <c r="H2" s="56"/>
      <c r="I2" s="56"/>
      <c r="J2" s="56"/>
      <c r="K2" s="56"/>
      <c r="L2" s="56"/>
      <c r="M2" s="56"/>
      <c r="N2" s="56"/>
      <c r="O2" s="56"/>
    </row>
    <row r="4" spans="2:15" x14ac:dyDescent="0.25">
      <c r="B4" s="44" t="s">
        <v>87</v>
      </c>
      <c r="C4" s="45" t="s">
        <v>88</v>
      </c>
      <c r="E4" s="44" t="s">
        <v>89</v>
      </c>
      <c r="F4" s="45" t="s">
        <v>88</v>
      </c>
      <c r="H4" s="44" t="s">
        <v>90</v>
      </c>
      <c r="I4" s="45" t="s">
        <v>88</v>
      </c>
      <c r="K4" s="44" t="s">
        <v>91</v>
      </c>
      <c r="L4" s="45" t="s">
        <v>88</v>
      </c>
    </row>
    <row r="6" spans="2:15" x14ac:dyDescent="0.25">
      <c r="B6" s="38" t="s">
        <v>92</v>
      </c>
    </row>
    <row r="7" spans="2:15" x14ac:dyDescent="0.25">
      <c r="B7" s="55" t="s">
        <v>93</v>
      </c>
      <c r="C7" s="56"/>
      <c r="E7" s="78" t="s">
        <v>94</v>
      </c>
      <c r="F7" s="56"/>
      <c r="H7" s="74" t="s">
        <v>95</v>
      </c>
      <c r="I7" s="56"/>
      <c r="K7" s="75" t="s">
        <v>96</v>
      </c>
      <c r="L7" s="56"/>
      <c r="N7" s="58" t="s">
        <v>97</v>
      </c>
      <c r="O7" s="56"/>
    </row>
    <row r="8" spans="2:15" ht="18.75" x14ac:dyDescent="0.25">
      <c r="B8" s="66">
        <f>COUNTIFS(Registro_OT!$AM$2:$AM$181, 1)</f>
        <v>180</v>
      </c>
      <c r="C8" s="62"/>
      <c r="E8" s="59">
        <f>COUNTIFS(Registro_OT!$AM$2:$AM$181, 1, Registro_OT!$M$2:$M$181, "Aprobado")</f>
        <v>177</v>
      </c>
      <c r="F8" s="60"/>
      <c r="H8" s="79">
        <f>COUNTIFS(Registro_OT!$AM$2:$AM$181, 1, Registro_OT!$Q$2:$Q$181, "Recibida")</f>
        <v>173</v>
      </c>
      <c r="I8" s="54"/>
      <c r="K8" s="72">
        <f>COUNTIFS(Registro_OT!$AM$2:$AM$181, 1, Registro_OT!$W$2:$W$181, "CUADRADO (3-WAY OK)")</f>
        <v>153</v>
      </c>
      <c r="L8" s="73"/>
      <c r="N8" s="67">
        <f>COUNTIFS(Registro_OT!$AM$2:$AM$181, 1, Registro_OT!$W$2:$W$181, "DESCUADRE DE MONTOS")</f>
        <v>1</v>
      </c>
      <c r="O8" s="68"/>
    </row>
    <row r="10" spans="2:15" x14ac:dyDescent="0.25">
      <c r="B10" s="38" t="s">
        <v>98</v>
      </c>
    </row>
    <row r="11" spans="2:15" x14ac:dyDescent="0.25">
      <c r="B11" s="55" t="s">
        <v>99</v>
      </c>
      <c r="C11" s="56"/>
      <c r="E11" s="74" t="s">
        <v>100</v>
      </c>
      <c r="F11" s="56"/>
      <c r="H11" s="70" t="s">
        <v>101</v>
      </c>
      <c r="I11" s="56"/>
      <c r="K11" s="58" t="s">
        <v>102</v>
      </c>
      <c r="L11" s="56"/>
      <c r="N11" s="57" t="s">
        <v>103</v>
      </c>
      <c r="O11" s="56"/>
    </row>
    <row r="12" spans="2:15" ht="15.75" x14ac:dyDescent="0.25">
      <c r="B12" s="61">
        <f>SUMIFS(Registro_OT!$L$2:$L$181, Registro_OT!$AM$2:$AM$181, 1)</f>
        <v>110292780</v>
      </c>
      <c r="C12" s="62"/>
      <c r="E12" s="53">
        <f>SUMIFS(Registro_OT!$P$2:$P$181, Registro_OT!$AM$2:$AM$181, 1)</f>
        <v>106625870</v>
      </c>
      <c r="F12" s="54"/>
      <c r="H12" s="76">
        <f>SUMIFS(Registro_OT!$T$2:$T$181, Registro_OT!$AM$2:$AM$181, 1)</f>
        <v>93641900</v>
      </c>
      <c r="I12" s="77"/>
      <c r="K12" s="71">
        <f>B12-E12</f>
        <v>3666910</v>
      </c>
      <c r="L12" s="68"/>
      <c r="N12" s="63">
        <f>E12-H12</f>
        <v>12983970</v>
      </c>
      <c r="O12" s="64"/>
    </row>
    <row r="14" spans="2:15" x14ac:dyDescent="0.25">
      <c r="B14" s="38" t="s">
        <v>104</v>
      </c>
    </row>
    <row r="15" spans="2:15" x14ac:dyDescent="0.25">
      <c r="B15" s="39" t="s">
        <v>105</v>
      </c>
      <c r="C15" s="39" t="s">
        <v>106</v>
      </c>
      <c r="D15" s="39" t="s">
        <v>107</v>
      </c>
      <c r="E15" s="39" t="s">
        <v>108</v>
      </c>
      <c r="F15" s="39" t="s">
        <v>109</v>
      </c>
      <c r="G15" s="39" t="s">
        <v>110</v>
      </c>
      <c r="H15" s="39" t="s">
        <v>111</v>
      </c>
      <c r="I15" s="39" t="s">
        <v>112</v>
      </c>
      <c r="J15" s="39" t="s">
        <v>113</v>
      </c>
      <c r="K15" s="39" t="s">
        <v>114</v>
      </c>
      <c r="L15" s="39" t="s">
        <v>115</v>
      </c>
      <c r="M15" s="39" t="s">
        <v>116</v>
      </c>
      <c r="N15" s="39" t="s">
        <v>117</v>
      </c>
      <c r="O15" s="39" t="s">
        <v>118</v>
      </c>
    </row>
    <row r="16" spans="2:15" x14ac:dyDescent="0.25">
      <c r="B16" t="str">
        <f>Registro_OT!A2</f>
        <v>OT-0001</v>
      </c>
      <c r="C16" t="str">
        <f>Registro_OT!B2</f>
        <v>CLI-015</v>
      </c>
      <c r="D16" t="str">
        <f>Registro_OT!C2</f>
        <v>XSLT-12</v>
      </c>
      <c r="E16" t="str">
        <f>Registro_OT!H2</f>
        <v>Luis Contreras</v>
      </c>
      <c r="F16" t="str">
        <f>Registro_OT!J2</f>
        <v>PRES-1001</v>
      </c>
      <c r="G16" s="40">
        <f>Registro_OT!L2</f>
        <v>243920</v>
      </c>
      <c r="H16" t="str">
        <f>Registro_OT!M2</f>
        <v>Aprobado</v>
      </c>
      <c r="I16" t="str">
        <f>Registro_OT!N2</f>
        <v>OC-5001</v>
      </c>
      <c r="J16" s="40">
        <f>Registro_OT!P2</f>
        <v>243920</v>
      </c>
      <c r="K16" t="str">
        <f>Registro_OT!Q2</f>
        <v>Recibida</v>
      </c>
      <c r="L16" t="str">
        <f>Registro_OT!R2</f>
        <v>FACT-3001</v>
      </c>
      <c r="M16" s="40">
        <f>Registro_OT!T2</f>
        <v>243920</v>
      </c>
      <c r="N16" s="41" t="str">
        <f>Registro_OT!W2</f>
        <v>CUADRADO (3-WAY OK)</v>
      </c>
      <c r="O16">
        <f>Registro_OT!AM2</f>
        <v>1</v>
      </c>
    </row>
    <row r="17" spans="2:15" x14ac:dyDescent="0.25">
      <c r="B17" t="str">
        <f>Registro_OT!A3</f>
        <v>OT-0002</v>
      </c>
      <c r="C17" t="str">
        <f>Registro_OT!B3</f>
        <v>CLI-015</v>
      </c>
      <c r="D17" t="str">
        <f>Registro_OT!C3</f>
        <v>SKWX-95</v>
      </c>
      <c r="E17" t="str">
        <f>Registro_OT!H3</f>
        <v>Marcelo Fuentes</v>
      </c>
      <c r="F17" t="str">
        <f>Registro_OT!J3</f>
        <v>PRES-1002</v>
      </c>
      <c r="G17" s="40">
        <f>Registro_OT!L3</f>
        <v>215570</v>
      </c>
      <c r="H17" t="str">
        <f>Registro_OT!M3</f>
        <v>Aprobado</v>
      </c>
      <c r="I17" t="str">
        <f>Registro_OT!N3</f>
        <v>OC-5002</v>
      </c>
      <c r="J17" s="40">
        <f>Registro_OT!P3</f>
        <v>215570</v>
      </c>
      <c r="K17" t="str">
        <f>Registro_OT!Q3</f>
        <v>Recibida</v>
      </c>
      <c r="L17" t="str">
        <f>Registro_OT!R3</f>
        <v>FACT-3002</v>
      </c>
      <c r="M17" s="40">
        <f>Registro_OT!T3</f>
        <v>215570</v>
      </c>
      <c r="N17" s="41" t="str">
        <f>Registro_OT!W3</f>
        <v>CUADRADO (3-WAY OK)</v>
      </c>
      <c r="O17">
        <f>Registro_OT!AM3</f>
        <v>1</v>
      </c>
    </row>
    <row r="18" spans="2:15" x14ac:dyDescent="0.25">
      <c r="B18" t="str">
        <f>Registro_OT!A4</f>
        <v>OT-0003</v>
      </c>
      <c r="C18" t="str">
        <f>Registro_OT!B4</f>
        <v>CLI-009</v>
      </c>
      <c r="D18" t="str">
        <f>Registro_OT!C4</f>
        <v>RCYD-42</v>
      </c>
      <c r="E18" t="str">
        <f>Registro_OT!H4</f>
        <v>Luis Contreras</v>
      </c>
      <c r="F18" t="str">
        <f>Registro_OT!J4</f>
        <v>PRES-1003</v>
      </c>
      <c r="G18" s="40">
        <f>Registro_OT!L4</f>
        <v>168410</v>
      </c>
      <c r="H18" t="str">
        <f>Registro_OT!M4</f>
        <v>Aprobado</v>
      </c>
      <c r="I18" t="str">
        <f>Registro_OT!N4</f>
        <v>OC-5003</v>
      </c>
      <c r="J18" s="40">
        <f>Registro_OT!P4</f>
        <v>168410</v>
      </c>
      <c r="K18" t="str">
        <f>Registro_OT!Q4</f>
        <v>Recibida</v>
      </c>
      <c r="L18">
        <f>Registro_OT!R4</f>
        <v>0</v>
      </c>
      <c r="M18" s="40">
        <f>Registro_OT!T4</f>
        <v>0</v>
      </c>
      <c r="N18" s="41" t="str">
        <f>Registro_OT!W4</f>
        <v>OC Recibida - Pendiente Factura</v>
      </c>
      <c r="O18">
        <f>Registro_OT!AM4</f>
        <v>1</v>
      </c>
    </row>
    <row r="19" spans="2:15" x14ac:dyDescent="0.25">
      <c r="B19" t="str">
        <f>Registro_OT!A5</f>
        <v>OT-0004</v>
      </c>
      <c r="C19" t="str">
        <f>Registro_OT!B5</f>
        <v>CLI-009</v>
      </c>
      <c r="D19" t="str">
        <f>Registro_OT!C5</f>
        <v>KZJV-65</v>
      </c>
      <c r="E19" t="str">
        <f>Registro_OT!H5</f>
        <v>Daniela Mora</v>
      </c>
      <c r="F19" t="str">
        <f>Registro_OT!J5</f>
        <v>PRES-1004</v>
      </c>
      <c r="G19" s="40">
        <f>Registro_OT!L5</f>
        <v>971280</v>
      </c>
      <c r="H19" t="str">
        <f>Registro_OT!M5</f>
        <v>Aprobado</v>
      </c>
      <c r="I19" t="str">
        <f>Registro_OT!N5</f>
        <v>OC-5004</v>
      </c>
      <c r="J19" s="40">
        <f>Registro_OT!P5</f>
        <v>971280</v>
      </c>
      <c r="K19" t="str">
        <f>Registro_OT!Q5</f>
        <v>Recibida</v>
      </c>
      <c r="L19" t="str">
        <f>Registro_OT!R5</f>
        <v>FACT-3004</v>
      </c>
      <c r="M19" s="40">
        <f>Registro_OT!T5</f>
        <v>971280</v>
      </c>
      <c r="N19" s="41" t="str">
        <f>Registro_OT!W5</f>
        <v>CUADRADO (3-WAY OK)</v>
      </c>
      <c r="O19">
        <f>Registro_OT!AM5</f>
        <v>1</v>
      </c>
    </row>
    <row r="20" spans="2:15" x14ac:dyDescent="0.25">
      <c r="B20" t="str">
        <f>Registro_OT!A6</f>
        <v>OT-0005</v>
      </c>
      <c r="C20" t="str">
        <f>Registro_OT!B6</f>
        <v>CLI-013</v>
      </c>
      <c r="D20" t="str">
        <f>Registro_OT!C6</f>
        <v>JVSV-33</v>
      </c>
      <c r="E20" t="str">
        <f>Registro_OT!H6</f>
        <v>Luis Contreras</v>
      </c>
      <c r="F20" t="str">
        <f>Registro_OT!J6</f>
        <v>PRES-1005</v>
      </c>
      <c r="G20" s="40">
        <f>Registro_OT!L6</f>
        <v>562660</v>
      </c>
      <c r="H20" t="str">
        <f>Registro_OT!M6</f>
        <v>Aprobado</v>
      </c>
      <c r="I20" t="str">
        <f>Registro_OT!N6</f>
        <v>OC-5005</v>
      </c>
      <c r="J20" s="40">
        <f>Registro_OT!P6</f>
        <v>562660</v>
      </c>
      <c r="K20" t="str">
        <f>Registro_OT!Q6</f>
        <v>Recibida</v>
      </c>
      <c r="L20" t="str">
        <f>Registro_OT!R6</f>
        <v>FACT-3005</v>
      </c>
      <c r="M20" s="40">
        <f>Registro_OT!T6</f>
        <v>562660</v>
      </c>
      <c r="N20" s="41" t="str">
        <f>Registro_OT!W6</f>
        <v>CUADRADO (3-WAY OK)</v>
      </c>
      <c r="O20">
        <f>Registro_OT!AM6</f>
        <v>1</v>
      </c>
    </row>
    <row r="21" spans="2:15" x14ac:dyDescent="0.25">
      <c r="B21" t="str">
        <f>Registro_OT!A7</f>
        <v>OT-0006</v>
      </c>
      <c r="C21" t="str">
        <f>Registro_OT!B7</f>
        <v>CLI-017</v>
      </c>
      <c r="D21" t="str">
        <f>Registro_OT!C7</f>
        <v>XYYK-56</v>
      </c>
      <c r="E21" t="str">
        <f>Registro_OT!H7</f>
        <v>Sergio Valdés</v>
      </c>
      <c r="F21" t="str">
        <f>Registro_OT!J7</f>
        <v>PRES-1006</v>
      </c>
      <c r="G21" s="40">
        <f>Registro_OT!L7</f>
        <v>1311820</v>
      </c>
      <c r="H21" t="str">
        <f>Registro_OT!M7</f>
        <v>Aprobado</v>
      </c>
      <c r="I21" t="str">
        <f>Registro_OT!N7</f>
        <v>OC-5006</v>
      </c>
      <c r="J21" s="40">
        <f>Registro_OT!P7</f>
        <v>1311820</v>
      </c>
      <c r="K21" t="str">
        <f>Registro_OT!Q7</f>
        <v>Recibida</v>
      </c>
      <c r="L21" t="str">
        <f>Registro_OT!R7</f>
        <v>FACT-3006</v>
      </c>
      <c r="M21" s="40">
        <f>Registro_OT!T7</f>
        <v>1311820</v>
      </c>
      <c r="N21" s="41" t="str">
        <f>Registro_OT!W7</f>
        <v>CUADRADO (3-WAY OK)</v>
      </c>
      <c r="O21">
        <f>Registro_OT!AM7</f>
        <v>1</v>
      </c>
    </row>
    <row r="22" spans="2:15" x14ac:dyDescent="0.25">
      <c r="B22" t="str">
        <f>Registro_OT!A8</f>
        <v>OT-0007</v>
      </c>
      <c r="C22" t="str">
        <f>Registro_OT!B8</f>
        <v>CLI-013</v>
      </c>
      <c r="D22" t="str">
        <f>Registro_OT!C8</f>
        <v>PZWS-75</v>
      </c>
      <c r="E22" t="str">
        <f>Registro_OT!H8</f>
        <v>Luis Contreras</v>
      </c>
      <c r="F22" t="str">
        <f>Registro_OT!J8</f>
        <v>PRES-1007</v>
      </c>
      <c r="G22" s="40">
        <f>Registro_OT!L8</f>
        <v>338760</v>
      </c>
      <c r="H22" t="str">
        <f>Registro_OT!M8</f>
        <v>Aprobado</v>
      </c>
      <c r="I22" t="str">
        <f>Registro_OT!N8</f>
        <v>OC-5007</v>
      </c>
      <c r="J22" s="40">
        <f>Registro_OT!P8</f>
        <v>338760</v>
      </c>
      <c r="K22" t="str">
        <f>Registro_OT!Q8</f>
        <v>Recibida</v>
      </c>
      <c r="L22" t="str">
        <f>Registro_OT!R8</f>
        <v>FACT-3007</v>
      </c>
      <c r="M22" s="40">
        <f>Registro_OT!T8</f>
        <v>338760</v>
      </c>
      <c r="N22" s="41" t="str">
        <f>Registro_OT!W8</f>
        <v>CUADRADO (3-WAY OK)</v>
      </c>
      <c r="O22">
        <f>Registro_OT!AM8</f>
        <v>1</v>
      </c>
    </row>
    <row r="23" spans="2:15" x14ac:dyDescent="0.25">
      <c r="B23" t="str">
        <f>Registro_OT!A9</f>
        <v>OT-0008</v>
      </c>
      <c r="C23" t="str">
        <f>Registro_OT!B9</f>
        <v>CLI-001</v>
      </c>
      <c r="D23" t="str">
        <f>Registro_OT!C9</f>
        <v>XPXS-10</v>
      </c>
      <c r="E23" t="str">
        <f>Registro_OT!H9</f>
        <v>Daniela Mora</v>
      </c>
      <c r="F23" t="str">
        <f>Registro_OT!J9</f>
        <v>PRES-1008</v>
      </c>
      <c r="G23" s="40">
        <f>Registro_OT!L9</f>
        <v>916200</v>
      </c>
      <c r="H23" t="str">
        <f>Registro_OT!M9</f>
        <v>Aprobado</v>
      </c>
      <c r="I23" t="str">
        <f>Registro_OT!N9</f>
        <v>OC-5008</v>
      </c>
      <c r="J23" s="40">
        <f>Registro_OT!P9</f>
        <v>916200</v>
      </c>
      <c r="K23" t="str">
        <f>Registro_OT!Q9</f>
        <v>Recibida</v>
      </c>
      <c r="L23" t="str">
        <f>Registro_OT!R9</f>
        <v>FACT-3008</v>
      </c>
      <c r="M23" s="40">
        <f>Registro_OT!T9</f>
        <v>916200</v>
      </c>
      <c r="N23" s="41" t="str">
        <f>Registro_OT!W9</f>
        <v>CUADRADO (3-WAY OK)</v>
      </c>
      <c r="O23">
        <f>Registro_OT!AM9</f>
        <v>1</v>
      </c>
    </row>
    <row r="24" spans="2:15" x14ac:dyDescent="0.25">
      <c r="B24" t="str">
        <f>Registro_OT!A10</f>
        <v>OT-0009</v>
      </c>
      <c r="C24" t="str">
        <f>Registro_OT!B10</f>
        <v>CLI-018</v>
      </c>
      <c r="D24" t="str">
        <f>Registro_OT!C10</f>
        <v>HYVX-61</v>
      </c>
      <c r="E24" t="str">
        <f>Registro_OT!H10</f>
        <v>Marcelo Fuentes</v>
      </c>
      <c r="F24" t="str">
        <f>Registro_OT!J10</f>
        <v>PRES-1009</v>
      </c>
      <c r="G24" s="40">
        <f>Registro_OT!L10</f>
        <v>292060</v>
      </c>
      <c r="H24" t="str">
        <f>Registro_OT!M10</f>
        <v>Aprobado</v>
      </c>
      <c r="I24" t="str">
        <f>Registro_OT!N10</f>
        <v>OC-5009</v>
      </c>
      <c r="J24" s="40">
        <f>Registro_OT!P10</f>
        <v>292060</v>
      </c>
      <c r="K24" t="str">
        <f>Registro_OT!Q10</f>
        <v>Recibida</v>
      </c>
      <c r="L24" t="str">
        <f>Registro_OT!R10</f>
        <v>FACT-3009</v>
      </c>
      <c r="M24" s="40">
        <f>Registro_OT!T10</f>
        <v>292060</v>
      </c>
      <c r="N24" s="41" t="str">
        <f>Registro_OT!W10</f>
        <v>CUADRADO (3-WAY OK)</v>
      </c>
      <c r="O24">
        <f>Registro_OT!AM10</f>
        <v>1</v>
      </c>
    </row>
    <row r="25" spans="2:15" x14ac:dyDescent="0.25">
      <c r="B25" t="str">
        <f>Registro_OT!A11</f>
        <v>OT-0010</v>
      </c>
      <c r="C25" t="str">
        <f>Registro_OT!B11</f>
        <v>CLI-013</v>
      </c>
      <c r="D25" t="str">
        <f>Registro_OT!C11</f>
        <v>KPHK-22</v>
      </c>
      <c r="E25" t="str">
        <f>Registro_OT!H11</f>
        <v>Marcelo Fuentes</v>
      </c>
      <c r="F25" t="str">
        <f>Registro_OT!J11</f>
        <v>PRES-1010</v>
      </c>
      <c r="G25" s="40">
        <f>Registro_OT!L11</f>
        <v>418890</v>
      </c>
      <c r="H25" t="str">
        <f>Registro_OT!M11</f>
        <v>Aprobado</v>
      </c>
      <c r="I25" t="str">
        <f>Registro_OT!N11</f>
        <v>OC-5010</v>
      </c>
      <c r="J25" s="40">
        <f>Registro_OT!P11</f>
        <v>418890</v>
      </c>
      <c r="K25" t="str">
        <f>Registro_OT!Q11</f>
        <v>Recibida</v>
      </c>
      <c r="L25" t="str">
        <f>Registro_OT!R11</f>
        <v>FACT-3010</v>
      </c>
      <c r="M25" s="40">
        <f>Registro_OT!T11</f>
        <v>418890</v>
      </c>
      <c r="N25" s="41" t="str">
        <f>Registro_OT!W11</f>
        <v>CUADRADO (3-WAY OK)</v>
      </c>
      <c r="O25">
        <f>Registro_OT!AM11</f>
        <v>1</v>
      </c>
    </row>
    <row r="26" spans="2:15" x14ac:dyDescent="0.25">
      <c r="B26" t="str">
        <f>Registro_OT!A12</f>
        <v>OT-0011</v>
      </c>
      <c r="C26" t="str">
        <f>Registro_OT!B12</f>
        <v>CLI-003</v>
      </c>
      <c r="D26" t="str">
        <f>Registro_OT!C12</f>
        <v>RFVZ-29</v>
      </c>
      <c r="E26" t="str">
        <f>Registro_OT!H12</f>
        <v>Cristian Araya</v>
      </c>
      <c r="F26" t="str">
        <f>Registro_OT!J12</f>
        <v>PRES-1011</v>
      </c>
      <c r="G26" s="40">
        <f>Registro_OT!L12</f>
        <v>425890</v>
      </c>
      <c r="H26" t="str">
        <f>Registro_OT!M12</f>
        <v>Aprobado</v>
      </c>
      <c r="I26" t="str">
        <f>Registro_OT!N12</f>
        <v>OC-5011</v>
      </c>
      <c r="J26" s="40">
        <f>Registro_OT!P12</f>
        <v>425890</v>
      </c>
      <c r="K26" t="str">
        <f>Registro_OT!Q12</f>
        <v>Recibida</v>
      </c>
      <c r="L26" t="str">
        <f>Registro_OT!R12</f>
        <v>FACT-3011</v>
      </c>
      <c r="M26" s="40">
        <f>Registro_OT!T12</f>
        <v>425890</v>
      </c>
      <c r="N26" s="41" t="str">
        <f>Registro_OT!W12</f>
        <v>CUADRADO (3-WAY OK)</v>
      </c>
      <c r="O26">
        <f>Registro_OT!AM12</f>
        <v>1</v>
      </c>
    </row>
    <row r="27" spans="2:15" x14ac:dyDescent="0.25">
      <c r="B27" t="str">
        <f>Registro_OT!A13</f>
        <v>OT-0012</v>
      </c>
      <c r="C27" t="str">
        <f>Registro_OT!B13</f>
        <v>CLI-015</v>
      </c>
      <c r="D27" t="str">
        <f>Registro_OT!C13</f>
        <v>FGXK-37</v>
      </c>
      <c r="E27" t="str">
        <f>Registro_OT!H13</f>
        <v>Marcelo Fuentes</v>
      </c>
      <c r="F27" t="str">
        <f>Registro_OT!J13</f>
        <v>PRES-1012</v>
      </c>
      <c r="G27" s="40">
        <f>Registro_OT!L13</f>
        <v>1042280</v>
      </c>
      <c r="H27" t="str">
        <f>Registro_OT!M13</f>
        <v>Aprobado</v>
      </c>
      <c r="I27" t="str">
        <f>Registro_OT!N13</f>
        <v>OC-5012</v>
      </c>
      <c r="J27" s="40">
        <f>Registro_OT!P13</f>
        <v>1042280</v>
      </c>
      <c r="K27" t="str">
        <f>Registro_OT!Q13</f>
        <v>Recibida</v>
      </c>
      <c r="L27" t="str">
        <f>Registro_OT!R13</f>
        <v>FACT-3012</v>
      </c>
      <c r="M27" s="40">
        <f>Registro_OT!T13</f>
        <v>1042280</v>
      </c>
      <c r="N27" s="41" t="str">
        <f>Registro_OT!W13</f>
        <v>CUADRADO (3-WAY OK)</v>
      </c>
      <c r="O27">
        <f>Registro_OT!AM13</f>
        <v>1</v>
      </c>
    </row>
    <row r="28" spans="2:15" x14ac:dyDescent="0.25">
      <c r="B28" t="str">
        <f>Registro_OT!A14</f>
        <v>OT-0013</v>
      </c>
      <c r="C28" t="str">
        <f>Registro_OT!B14</f>
        <v>CLI-017</v>
      </c>
      <c r="D28" t="str">
        <f>Registro_OT!C14</f>
        <v>XDFX-72</v>
      </c>
      <c r="E28" t="str">
        <f>Registro_OT!H14</f>
        <v>Luis Contreras</v>
      </c>
      <c r="F28" t="str">
        <f>Registro_OT!J14</f>
        <v>PRES-1013</v>
      </c>
      <c r="G28" s="40">
        <f>Registro_OT!L14</f>
        <v>263270</v>
      </c>
      <c r="H28" t="str">
        <f>Registro_OT!M14</f>
        <v>Aprobado</v>
      </c>
      <c r="I28" t="str">
        <f>Registro_OT!N14</f>
        <v>OC-5013</v>
      </c>
      <c r="J28" s="40">
        <f>Registro_OT!P14</f>
        <v>263270</v>
      </c>
      <c r="K28" t="str">
        <f>Registro_OT!Q14</f>
        <v>Recibida</v>
      </c>
      <c r="L28" t="str">
        <f>Registro_OT!R14</f>
        <v>FACT-3013</v>
      </c>
      <c r="M28" s="40">
        <f>Registro_OT!T14</f>
        <v>263270</v>
      </c>
      <c r="N28" s="41" t="str">
        <f>Registro_OT!W14</f>
        <v>CUADRADO (3-WAY OK)</v>
      </c>
      <c r="O28">
        <f>Registro_OT!AM14</f>
        <v>1</v>
      </c>
    </row>
    <row r="29" spans="2:15" x14ac:dyDescent="0.25">
      <c r="B29" t="str">
        <f>Registro_OT!A15</f>
        <v>OT-0014</v>
      </c>
      <c r="C29" t="str">
        <f>Registro_OT!B15</f>
        <v>CLI-001</v>
      </c>
      <c r="D29" t="str">
        <f>Registro_OT!C15</f>
        <v>HPXC-97</v>
      </c>
      <c r="E29" t="str">
        <f>Registro_OT!H15</f>
        <v>Cristian Araya</v>
      </c>
      <c r="F29" t="str">
        <f>Registro_OT!J15</f>
        <v>PRES-1014</v>
      </c>
      <c r="G29" s="40">
        <f>Registro_OT!L15</f>
        <v>676610</v>
      </c>
      <c r="H29" t="str">
        <f>Registro_OT!M15</f>
        <v>Aprobado</v>
      </c>
      <c r="I29" t="str">
        <f>Registro_OT!N15</f>
        <v>OC-5014</v>
      </c>
      <c r="J29" s="40">
        <f>Registro_OT!P15</f>
        <v>676610</v>
      </c>
      <c r="K29" t="str">
        <f>Registro_OT!Q15</f>
        <v>Recibida</v>
      </c>
      <c r="L29" t="str">
        <f>Registro_OT!R15</f>
        <v>FACT-3014</v>
      </c>
      <c r="M29" s="40">
        <f>Registro_OT!T15</f>
        <v>676610</v>
      </c>
      <c r="N29" s="41" t="str">
        <f>Registro_OT!W15</f>
        <v>CUADRADO (3-WAY OK)</v>
      </c>
      <c r="O29">
        <f>Registro_OT!AM15</f>
        <v>1</v>
      </c>
    </row>
    <row r="30" spans="2:15" x14ac:dyDescent="0.25">
      <c r="B30" t="str">
        <f>Registro_OT!A16</f>
        <v>OT-0015</v>
      </c>
      <c r="C30" t="str">
        <f>Registro_OT!B16</f>
        <v>CLI-007</v>
      </c>
      <c r="D30" t="str">
        <f>Registro_OT!C16</f>
        <v>DCTS-30</v>
      </c>
      <c r="E30" t="str">
        <f>Registro_OT!H16</f>
        <v>Marcelo Fuentes</v>
      </c>
      <c r="F30" t="str">
        <f>Registro_OT!J16</f>
        <v>PRES-1015</v>
      </c>
      <c r="G30" s="40">
        <f>Registro_OT!L16</f>
        <v>257260</v>
      </c>
      <c r="H30" t="str">
        <f>Registro_OT!M16</f>
        <v>Aprobado</v>
      </c>
      <c r="I30" t="str">
        <f>Registro_OT!N16</f>
        <v>OC-5015</v>
      </c>
      <c r="J30" s="40">
        <f>Registro_OT!P16</f>
        <v>242260</v>
      </c>
      <c r="K30" t="str">
        <f>Registro_OT!Q16</f>
        <v>Recibida</v>
      </c>
      <c r="L30">
        <f>Registro_OT!R16</f>
        <v>0</v>
      </c>
      <c r="M30" s="40">
        <f>Registro_OT!T16</f>
        <v>0</v>
      </c>
      <c r="N30" s="41" t="str">
        <f>Registro_OT!W16</f>
        <v>OC Recibida - Pendiente Factura</v>
      </c>
      <c r="O30">
        <f>Registro_OT!AM16</f>
        <v>1</v>
      </c>
    </row>
    <row r="31" spans="2:15" x14ac:dyDescent="0.25">
      <c r="B31" t="str">
        <f>Registro_OT!A17</f>
        <v>OT-0016</v>
      </c>
      <c r="C31" t="str">
        <f>Registro_OT!B17</f>
        <v>CLI-009</v>
      </c>
      <c r="D31" t="str">
        <f>Registro_OT!C17</f>
        <v>ZCLP-77</v>
      </c>
      <c r="E31" t="str">
        <f>Registro_OT!H17</f>
        <v>Patricio Rojas</v>
      </c>
      <c r="F31" t="str">
        <f>Registro_OT!J17</f>
        <v>PRES-1016</v>
      </c>
      <c r="G31" s="40">
        <f>Registro_OT!L17</f>
        <v>726080</v>
      </c>
      <c r="H31" t="str">
        <f>Registro_OT!M17</f>
        <v>Aprobado</v>
      </c>
      <c r="I31" t="str">
        <f>Registro_OT!N17</f>
        <v>OC-5016</v>
      </c>
      <c r="J31" s="40">
        <f>Registro_OT!P17</f>
        <v>726080</v>
      </c>
      <c r="K31" t="str">
        <f>Registro_OT!Q17</f>
        <v>Recibida</v>
      </c>
      <c r="L31" t="str">
        <f>Registro_OT!R17</f>
        <v>FACT-3016</v>
      </c>
      <c r="M31" s="40">
        <f>Registro_OT!T17</f>
        <v>726080</v>
      </c>
      <c r="N31" s="41" t="str">
        <f>Registro_OT!W17</f>
        <v>CUADRADO (3-WAY OK)</v>
      </c>
      <c r="O31">
        <f>Registro_OT!AM17</f>
        <v>1</v>
      </c>
    </row>
    <row r="32" spans="2:15" x14ac:dyDescent="0.25">
      <c r="B32" t="str">
        <f>Registro_OT!A18</f>
        <v>OT-0017</v>
      </c>
      <c r="C32" t="str">
        <f>Registro_OT!B18</f>
        <v>CLI-011</v>
      </c>
      <c r="D32" t="str">
        <f>Registro_OT!C18</f>
        <v>THLH-69</v>
      </c>
      <c r="E32" t="str">
        <f>Registro_OT!H18</f>
        <v>Andrea Salinas</v>
      </c>
      <c r="F32" t="str">
        <f>Registro_OT!J18</f>
        <v>PRES-1017</v>
      </c>
      <c r="G32" s="40">
        <f>Registro_OT!L18</f>
        <v>487030</v>
      </c>
      <c r="H32" t="str">
        <f>Registro_OT!M18</f>
        <v>Aprobado</v>
      </c>
      <c r="I32" t="str">
        <f>Registro_OT!N18</f>
        <v>OC-5017</v>
      </c>
      <c r="J32" s="40">
        <f>Registro_OT!P18</f>
        <v>487030</v>
      </c>
      <c r="K32" t="str">
        <f>Registro_OT!Q18</f>
        <v>Recibida</v>
      </c>
      <c r="L32" t="str">
        <f>Registro_OT!R18</f>
        <v>FACT-3017</v>
      </c>
      <c r="M32" s="40">
        <f>Registro_OT!T18</f>
        <v>487030</v>
      </c>
      <c r="N32" s="41" t="str">
        <f>Registro_OT!W18</f>
        <v>CUADRADO (3-WAY OK)</v>
      </c>
      <c r="O32">
        <f>Registro_OT!AM18</f>
        <v>1</v>
      </c>
    </row>
    <row r="33" spans="2:15" x14ac:dyDescent="0.25">
      <c r="B33" t="str">
        <f>Registro_OT!A19</f>
        <v>OT-0018</v>
      </c>
      <c r="C33" t="str">
        <f>Registro_OT!B19</f>
        <v>CLI-017</v>
      </c>
      <c r="D33" t="str">
        <f>Registro_OT!C19</f>
        <v>DPRW-85</v>
      </c>
      <c r="E33" t="str">
        <f>Registro_OT!H19</f>
        <v>Luis Contreras</v>
      </c>
      <c r="F33" t="str">
        <f>Registro_OT!J19</f>
        <v>PRES-1018</v>
      </c>
      <c r="G33" s="40">
        <f>Registro_OT!L19</f>
        <v>271920</v>
      </c>
      <c r="H33" t="str">
        <f>Registro_OT!M19</f>
        <v>Aprobado</v>
      </c>
      <c r="I33" t="str">
        <f>Registro_OT!N19</f>
        <v>OC-5018</v>
      </c>
      <c r="J33" s="40">
        <f>Registro_OT!P19</f>
        <v>271920</v>
      </c>
      <c r="K33" t="str">
        <f>Registro_OT!Q19</f>
        <v>Recibida</v>
      </c>
      <c r="L33" t="str">
        <f>Registro_OT!R19</f>
        <v>FACT-3018</v>
      </c>
      <c r="M33" s="40">
        <f>Registro_OT!T19</f>
        <v>271920</v>
      </c>
      <c r="N33" s="41" t="str">
        <f>Registro_OT!W19</f>
        <v>CUADRADO (3-WAY OK)</v>
      </c>
      <c r="O33">
        <f>Registro_OT!AM19</f>
        <v>1</v>
      </c>
    </row>
    <row r="34" spans="2:15" x14ac:dyDescent="0.25">
      <c r="B34" t="str">
        <f>Registro_OT!A20</f>
        <v>OT-0019</v>
      </c>
      <c r="C34" t="str">
        <f>Registro_OT!B20</f>
        <v>CLI-007</v>
      </c>
      <c r="D34" t="str">
        <f>Registro_OT!C20</f>
        <v>SZBC-93</v>
      </c>
      <c r="E34" t="str">
        <f>Registro_OT!H20</f>
        <v>Marcelo Fuentes</v>
      </c>
      <c r="F34" t="str">
        <f>Registro_OT!J20</f>
        <v>PRES-1019</v>
      </c>
      <c r="G34" s="40">
        <f>Registro_OT!L20</f>
        <v>158850</v>
      </c>
      <c r="H34" t="str">
        <f>Registro_OT!M20</f>
        <v>Aprobado</v>
      </c>
      <c r="I34" t="str">
        <f>Registro_OT!N20</f>
        <v>OC-5019</v>
      </c>
      <c r="J34" s="40">
        <f>Registro_OT!P20</f>
        <v>158850</v>
      </c>
      <c r="K34" t="str">
        <f>Registro_OT!Q20</f>
        <v>Recibida</v>
      </c>
      <c r="L34" t="str">
        <f>Registro_OT!R20</f>
        <v>FACT-3019</v>
      </c>
      <c r="M34" s="40">
        <f>Registro_OT!T20</f>
        <v>158850</v>
      </c>
      <c r="N34" s="41" t="str">
        <f>Registro_OT!W20</f>
        <v>CUADRADO (3-WAY OK)</v>
      </c>
      <c r="O34">
        <f>Registro_OT!AM20</f>
        <v>1</v>
      </c>
    </row>
    <row r="35" spans="2:15" x14ac:dyDescent="0.25">
      <c r="B35" t="str">
        <f>Registro_OT!A21</f>
        <v>OT-0020</v>
      </c>
      <c r="C35" t="str">
        <f>Registro_OT!B21</f>
        <v>CLI-006</v>
      </c>
      <c r="D35" t="str">
        <f>Registro_OT!C21</f>
        <v>FDFV-61</v>
      </c>
      <c r="E35" t="str">
        <f>Registro_OT!H21</f>
        <v>Luis Contreras</v>
      </c>
      <c r="F35" t="str">
        <f>Registro_OT!J21</f>
        <v>PRES-1020</v>
      </c>
      <c r="G35" s="40">
        <f>Registro_OT!L21</f>
        <v>821930</v>
      </c>
      <c r="H35" t="str">
        <f>Registro_OT!M21</f>
        <v>Aprobado</v>
      </c>
      <c r="I35" t="str">
        <f>Registro_OT!N21</f>
        <v>OC-5020</v>
      </c>
      <c r="J35" s="40">
        <f>Registro_OT!P21</f>
        <v>821930</v>
      </c>
      <c r="K35" t="str">
        <f>Registro_OT!Q21</f>
        <v>Recibida</v>
      </c>
      <c r="L35" t="str">
        <f>Registro_OT!R21</f>
        <v>FACT-3020</v>
      </c>
      <c r="M35" s="40">
        <f>Registro_OT!T21</f>
        <v>821930</v>
      </c>
      <c r="N35" s="41" t="str">
        <f>Registro_OT!W21</f>
        <v>CUADRADO (3-WAY OK)</v>
      </c>
      <c r="O35">
        <f>Registro_OT!AM21</f>
        <v>1</v>
      </c>
    </row>
    <row r="36" spans="2:15" x14ac:dyDescent="0.25">
      <c r="B36" t="str">
        <f>Registro_OT!A22</f>
        <v>OT-0021</v>
      </c>
      <c r="C36" t="str">
        <f>Registro_OT!B22</f>
        <v>CLI-010</v>
      </c>
      <c r="D36" t="str">
        <f>Registro_OT!C22</f>
        <v>VBBY-32</v>
      </c>
      <c r="E36" t="str">
        <f>Registro_OT!H22</f>
        <v>Marcelo Fuentes</v>
      </c>
      <c r="F36" t="str">
        <f>Registro_OT!J22</f>
        <v>PRES-1021</v>
      </c>
      <c r="G36" s="40">
        <f>Registro_OT!L22</f>
        <v>354340</v>
      </c>
      <c r="H36" t="str">
        <f>Registro_OT!M22</f>
        <v>Aprobado</v>
      </c>
      <c r="I36" t="str">
        <f>Registro_OT!N22</f>
        <v>OC-5021</v>
      </c>
      <c r="J36" s="40">
        <f>Registro_OT!P22</f>
        <v>354340</v>
      </c>
      <c r="K36" t="str">
        <f>Registro_OT!Q22</f>
        <v>Recibida</v>
      </c>
      <c r="L36" t="str">
        <f>Registro_OT!R22</f>
        <v>FACT-3021</v>
      </c>
      <c r="M36" s="40">
        <f>Registro_OT!T22</f>
        <v>354340</v>
      </c>
      <c r="N36" s="41" t="str">
        <f>Registro_OT!W22</f>
        <v>CUADRADO (3-WAY OK)</v>
      </c>
      <c r="O36">
        <f>Registro_OT!AM22</f>
        <v>1</v>
      </c>
    </row>
    <row r="37" spans="2:15" x14ac:dyDescent="0.25">
      <c r="B37" t="str">
        <f>Registro_OT!A23</f>
        <v>OT-0022</v>
      </c>
      <c r="C37" t="str">
        <f>Registro_OT!B23</f>
        <v>CLI-004</v>
      </c>
      <c r="D37" t="str">
        <f>Registro_OT!C23</f>
        <v>GHWX-45</v>
      </c>
      <c r="E37" t="str">
        <f>Registro_OT!H23</f>
        <v>Cristian Araya</v>
      </c>
      <c r="F37" t="str">
        <f>Registro_OT!J23</f>
        <v>PRES-1022</v>
      </c>
      <c r="G37" s="40">
        <f>Registro_OT!L23</f>
        <v>433120</v>
      </c>
      <c r="H37" t="str">
        <f>Registro_OT!M23</f>
        <v>Aprobado</v>
      </c>
      <c r="I37" t="str">
        <f>Registro_OT!N23</f>
        <v>OC-5022</v>
      </c>
      <c r="J37" s="40">
        <f>Registro_OT!P23</f>
        <v>433120</v>
      </c>
      <c r="K37" t="str">
        <f>Registro_OT!Q23</f>
        <v>Recibida</v>
      </c>
      <c r="L37" t="str">
        <f>Registro_OT!R23</f>
        <v>FACT-3022</v>
      </c>
      <c r="M37" s="40">
        <f>Registro_OT!T23</f>
        <v>433120</v>
      </c>
      <c r="N37" s="41" t="str">
        <f>Registro_OT!W23</f>
        <v>CUADRADO (3-WAY OK)</v>
      </c>
      <c r="O37">
        <f>Registro_OT!AM23</f>
        <v>1</v>
      </c>
    </row>
    <row r="38" spans="2:15" x14ac:dyDescent="0.25">
      <c r="B38" t="str">
        <f>Registro_OT!A24</f>
        <v>OT-0023</v>
      </c>
      <c r="C38" t="str">
        <f>Registro_OT!B24</f>
        <v>CLI-018</v>
      </c>
      <c r="D38" t="str">
        <f>Registro_OT!C24</f>
        <v>HPZT-54</v>
      </c>
      <c r="E38" t="str">
        <f>Registro_OT!H24</f>
        <v>Daniela Mora</v>
      </c>
      <c r="F38" t="str">
        <f>Registro_OT!J24</f>
        <v>PRES-1023</v>
      </c>
      <c r="G38" s="40">
        <f>Registro_OT!L24</f>
        <v>2154700</v>
      </c>
      <c r="H38" t="str">
        <f>Registro_OT!M24</f>
        <v>Aprobado</v>
      </c>
      <c r="I38" t="str">
        <f>Registro_OT!N24</f>
        <v>OC-5023</v>
      </c>
      <c r="J38" s="40">
        <f>Registro_OT!P24</f>
        <v>2154700</v>
      </c>
      <c r="K38" t="str">
        <f>Registro_OT!Q24</f>
        <v>Recibida</v>
      </c>
      <c r="L38" t="str">
        <f>Registro_OT!R24</f>
        <v>FACT-3023</v>
      </c>
      <c r="M38" s="40">
        <f>Registro_OT!T24</f>
        <v>2154700</v>
      </c>
      <c r="N38" s="41" t="str">
        <f>Registro_OT!W24</f>
        <v>CUADRADO (3-WAY OK)</v>
      </c>
      <c r="O38">
        <f>Registro_OT!AM24</f>
        <v>1</v>
      </c>
    </row>
    <row r="39" spans="2:15" x14ac:dyDescent="0.25">
      <c r="B39" t="str">
        <f>Registro_OT!A25</f>
        <v>OT-0024</v>
      </c>
      <c r="C39" t="str">
        <f>Registro_OT!B25</f>
        <v>CLI-012</v>
      </c>
      <c r="D39" t="str">
        <f>Registro_OT!C25</f>
        <v>XWRJ-13</v>
      </c>
      <c r="E39" t="str">
        <f>Registro_OT!H25</f>
        <v>Marcelo Fuentes</v>
      </c>
      <c r="F39" t="str">
        <f>Registro_OT!J25</f>
        <v>PRES-1024</v>
      </c>
      <c r="G39" s="40">
        <f>Registro_OT!L25</f>
        <v>547910</v>
      </c>
      <c r="H39" t="str">
        <f>Registro_OT!M25</f>
        <v>Aprobado</v>
      </c>
      <c r="I39" t="str">
        <f>Registro_OT!N25</f>
        <v>OC-5024</v>
      </c>
      <c r="J39" s="40">
        <f>Registro_OT!P25</f>
        <v>547910</v>
      </c>
      <c r="K39" t="str">
        <f>Registro_OT!Q25</f>
        <v>Recibida</v>
      </c>
      <c r="L39" t="str">
        <f>Registro_OT!R25</f>
        <v>FACT-3024</v>
      </c>
      <c r="M39" s="40">
        <f>Registro_OT!T25</f>
        <v>547910</v>
      </c>
      <c r="N39" s="41" t="str">
        <f>Registro_OT!W25</f>
        <v>CUADRADO (3-WAY OK)</v>
      </c>
      <c r="O39">
        <f>Registro_OT!AM25</f>
        <v>1</v>
      </c>
    </row>
    <row r="40" spans="2:15" x14ac:dyDescent="0.25">
      <c r="B40" t="str">
        <f>Registro_OT!A26</f>
        <v>OT-0025</v>
      </c>
      <c r="C40" t="str">
        <f>Registro_OT!B26</f>
        <v>CLI-012</v>
      </c>
      <c r="D40" t="str">
        <f>Registro_OT!C26</f>
        <v>GKZY-80</v>
      </c>
      <c r="E40" t="str">
        <f>Registro_OT!H26</f>
        <v>Patricio Rojas</v>
      </c>
      <c r="F40" t="str">
        <f>Registro_OT!J26</f>
        <v>PRES-1025</v>
      </c>
      <c r="G40" s="40">
        <f>Registro_OT!L26</f>
        <v>583720</v>
      </c>
      <c r="H40" t="str">
        <f>Registro_OT!M26</f>
        <v>Aprobado</v>
      </c>
      <c r="I40" t="str">
        <f>Registro_OT!N26</f>
        <v>OC-5025</v>
      </c>
      <c r="J40" s="40">
        <f>Registro_OT!P26</f>
        <v>583720</v>
      </c>
      <c r="K40" t="str">
        <f>Registro_OT!Q26</f>
        <v>Recibida</v>
      </c>
      <c r="L40" t="str">
        <f>Registro_OT!R26</f>
        <v>FACT-3025</v>
      </c>
      <c r="M40" s="40">
        <f>Registro_OT!T26</f>
        <v>583720</v>
      </c>
      <c r="N40" s="41" t="str">
        <f>Registro_OT!W26</f>
        <v>CUADRADO (3-WAY OK)</v>
      </c>
      <c r="O40">
        <f>Registro_OT!AM26</f>
        <v>1</v>
      </c>
    </row>
    <row r="41" spans="2:15" x14ac:dyDescent="0.25">
      <c r="B41" t="str">
        <f>Registro_OT!A27</f>
        <v>OT-0026</v>
      </c>
      <c r="C41" t="str">
        <f>Registro_OT!B27</f>
        <v>CLI-005</v>
      </c>
      <c r="D41" t="str">
        <f>Registro_OT!C27</f>
        <v>RWGW-23</v>
      </c>
      <c r="E41" t="str">
        <f>Registro_OT!H27</f>
        <v>Luis Contreras</v>
      </c>
      <c r="F41" t="str">
        <f>Registro_OT!J27</f>
        <v>PRES-1026</v>
      </c>
      <c r="G41" s="40">
        <f>Registro_OT!L27</f>
        <v>569380</v>
      </c>
      <c r="H41" t="str">
        <f>Registro_OT!M27</f>
        <v>Aprobado</v>
      </c>
      <c r="I41" t="str">
        <f>Registro_OT!N27</f>
        <v>OC-5026</v>
      </c>
      <c r="J41" s="40">
        <f>Registro_OT!P27</f>
        <v>569380</v>
      </c>
      <c r="K41" t="str">
        <f>Registro_OT!Q27</f>
        <v>Recibida</v>
      </c>
      <c r="L41" t="str">
        <f>Registro_OT!R27</f>
        <v>FACT-3026</v>
      </c>
      <c r="M41" s="40">
        <f>Registro_OT!T27</f>
        <v>569380</v>
      </c>
      <c r="N41" s="41" t="str">
        <f>Registro_OT!W27</f>
        <v>CUADRADO (3-WAY OK)</v>
      </c>
      <c r="O41">
        <f>Registro_OT!AM27</f>
        <v>1</v>
      </c>
    </row>
    <row r="42" spans="2:15" x14ac:dyDescent="0.25">
      <c r="B42" t="str">
        <f>Registro_OT!A28</f>
        <v>OT-0027</v>
      </c>
      <c r="C42" t="str">
        <f>Registro_OT!B28</f>
        <v>CLI-001</v>
      </c>
      <c r="D42" t="str">
        <f>Registro_OT!C28</f>
        <v>YRJH-91</v>
      </c>
      <c r="E42" t="str">
        <f>Registro_OT!H28</f>
        <v>Luis Contreras</v>
      </c>
      <c r="F42" t="str">
        <f>Registro_OT!J28</f>
        <v>PRES-1027</v>
      </c>
      <c r="G42" s="40">
        <f>Registro_OT!L28</f>
        <v>267420</v>
      </c>
      <c r="H42" t="str">
        <f>Registro_OT!M28</f>
        <v>Aprobado</v>
      </c>
      <c r="I42" t="str">
        <f>Registro_OT!N28</f>
        <v>OC-5027</v>
      </c>
      <c r="J42" s="40">
        <f>Registro_OT!P28</f>
        <v>267420</v>
      </c>
      <c r="K42" t="str">
        <f>Registro_OT!Q28</f>
        <v>Recibida</v>
      </c>
      <c r="L42" t="str">
        <f>Registro_OT!R28</f>
        <v>FACT-3027</v>
      </c>
      <c r="M42" s="40">
        <f>Registro_OT!T28</f>
        <v>267420</v>
      </c>
      <c r="N42" s="41" t="str">
        <f>Registro_OT!W28</f>
        <v>CUADRADO (3-WAY OK)</v>
      </c>
      <c r="O42">
        <f>Registro_OT!AM28</f>
        <v>1</v>
      </c>
    </row>
    <row r="43" spans="2:15" x14ac:dyDescent="0.25">
      <c r="B43" t="str">
        <f>Registro_OT!A29</f>
        <v>OT-0028</v>
      </c>
      <c r="C43" t="str">
        <f>Registro_OT!B29</f>
        <v>CLI-011</v>
      </c>
      <c r="D43" t="str">
        <f>Registro_OT!C29</f>
        <v>KJYZ-42</v>
      </c>
      <c r="E43" t="str">
        <f>Registro_OT!H29</f>
        <v>Luis Contreras</v>
      </c>
      <c r="F43" t="str">
        <f>Registro_OT!J29</f>
        <v>PRES-1028</v>
      </c>
      <c r="G43" s="40">
        <f>Registro_OT!L29</f>
        <v>180060</v>
      </c>
      <c r="H43" t="str">
        <f>Registro_OT!M29</f>
        <v>Aprobado</v>
      </c>
      <c r="I43" t="str">
        <f>Registro_OT!N29</f>
        <v>OC-5028</v>
      </c>
      <c r="J43" s="40">
        <f>Registro_OT!P29</f>
        <v>180060</v>
      </c>
      <c r="K43" t="str">
        <f>Registro_OT!Q29</f>
        <v>Recibida</v>
      </c>
      <c r="L43" t="str">
        <f>Registro_OT!R29</f>
        <v>FACT-3028</v>
      </c>
      <c r="M43" s="40">
        <f>Registro_OT!T29</f>
        <v>180060</v>
      </c>
      <c r="N43" s="41" t="str">
        <f>Registro_OT!W29</f>
        <v>CUADRADO (3-WAY OK)</v>
      </c>
      <c r="O43">
        <f>Registro_OT!AM29</f>
        <v>1</v>
      </c>
    </row>
    <row r="44" spans="2:15" x14ac:dyDescent="0.25">
      <c r="B44" t="str">
        <f>Registro_OT!A30</f>
        <v>OT-0029</v>
      </c>
      <c r="C44" t="str">
        <f>Registro_OT!B30</f>
        <v>CLI-007</v>
      </c>
      <c r="D44" t="str">
        <f>Registro_OT!C30</f>
        <v>YKDS-78</v>
      </c>
      <c r="E44" t="str">
        <f>Registro_OT!H30</f>
        <v>Marcelo Fuentes</v>
      </c>
      <c r="F44" t="str">
        <f>Registro_OT!J30</f>
        <v>PRES-1029</v>
      </c>
      <c r="G44" s="40">
        <f>Registro_OT!L30</f>
        <v>247480</v>
      </c>
      <c r="H44" t="str">
        <f>Registro_OT!M30</f>
        <v>Aprobado</v>
      </c>
      <c r="I44" t="str">
        <f>Registro_OT!N30</f>
        <v>OC-5029</v>
      </c>
      <c r="J44" s="40">
        <f>Registro_OT!P30</f>
        <v>247480</v>
      </c>
      <c r="K44" t="str">
        <f>Registro_OT!Q30</f>
        <v>Recibida</v>
      </c>
      <c r="L44" t="str">
        <f>Registro_OT!R30</f>
        <v>FACT-3029</v>
      </c>
      <c r="M44" s="40">
        <f>Registro_OT!T30</f>
        <v>247480</v>
      </c>
      <c r="N44" s="41" t="str">
        <f>Registro_OT!W30</f>
        <v>CUADRADO (3-WAY OK)</v>
      </c>
      <c r="O44">
        <f>Registro_OT!AM30</f>
        <v>1</v>
      </c>
    </row>
    <row r="45" spans="2:15" x14ac:dyDescent="0.25">
      <c r="B45" t="str">
        <f>Registro_OT!A31</f>
        <v>OT-0030</v>
      </c>
      <c r="C45" t="str">
        <f>Registro_OT!B31</f>
        <v>CLI-008</v>
      </c>
      <c r="D45" t="str">
        <f>Registro_OT!C31</f>
        <v>FGHR-79</v>
      </c>
      <c r="E45" t="str">
        <f>Registro_OT!H31</f>
        <v>Luis Contreras</v>
      </c>
      <c r="F45" t="str">
        <f>Registro_OT!J31</f>
        <v>PRES-1030</v>
      </c>
      <c r="G45" s="40">
        <f>Registro_OT!L31</f>
        <v>171790</v>
      </c>
      <c r="H45" t="str">
        <f>Registro_OT!M31</f>
        <v>Aprobado</v>
      </c>
      <c r="I45" t="str">
        <f>Registro_OT!N31</f>
        <v>OC-5030</v>
      </c>
      <c r="J45" s="40">
        <f>Registro_OT!P31</f>
        <v>171790</v>
      </c>
      <c r="K45" t="str">
        <f>Registro_OT!Q31</f>
        <v>Recibida</v>
      </c>
      <c r="L45" t="str">
        <f>Registro_OT!R31</f>
        <v>FACT-3030</v>
      </c>
      <c r="M45" s="40">
        <f>Registro_OT!T31</f>
        <v>171790</v>
      </c>
      <c r="N45" s="41" t="str">
        <f>Registro_OT!W31</f>
        <v>CUADRADO (3-WAY OK)</v>
      </c>
      <c r="O45">
        <f>Registro_OT!AM31</f>
        <v>1</v>
      </c>
    </row>
    <row r="46" spans="2:15" x14ac:dyDescent="0.25">
      <c r="B46" t="str">
        <f>Registro_OT!A32</f>
        <v>OT-0031</v>
      </c>
      <c r="C46" t="str">
        <f>Registro_OT!B32</f>
        <v>CLI-018</v>
      </c>
      <c r="D46" t="str">
        <f>Registro_OT!C32</f>
        <v>BPXG-45</v>
      </c>
      <c r="E46" t="str">
        <f>Registro_OT!H32</f>
        <v>Héctor Pizarro</v>
      </c>
      <c r="F46" t="str">
        <f>Registro_OT!J32</f>
        <v>PRES-1031</v>
      </c>
      <c r="G46" s="40">
        <f>Registro_OT!L32</f>
        <v>257940</v>
      </c>
      <c r="H46" t="str">
        <f>Registro_OT!M32</f>
        <v>Aprobado</v>
      </c>
      <c r="I46" t="str">
        <f>Registro_OT!N32</f>
        <v>OC-5031</v>
      </c>
      <c r="J46" s="40">
        <f>Registro_OT!P32</f>
        <v>257940</v>
      </c>
      <c r="K46" t="str">
        <f>Registro_OT!Q32</f>
        <v>Recibida</v>
      </c>
      <c r="L46" t="str">
        <f>Registro_OT!R32</f>
        <v>FACT-3031</v>
      </c>
      <c r="M46" s="40">
        <f>Registro_OT!T32</f>
        <v>257940</v>
      </c>
      <c r="N46" s="41" t="str">
        <f>Registro_OT!W32</f>
        <v>CUADRADO (3-WAY OK)</v>
      </c>
      <c r="O46">
        <f>Registro_OT!AM32</f>
        <v>1</v>
      </c>
    </row>
    <row r="47" spans="2:15" x14ac:dyDescent="0.25">
      <c r="B47" t="str">
        <f>Registro_OT!A33</f>
        <v>OT-0032</v>
      </c>
      <c r="C47" t="str">
        <f>Registro_OT!B33</f>
        <v>CLI-007</v>
      </c>
      <c r="D47" t="str">
        <f>Registro_OT!C33</f>
        <v>YBZF-90</v>
      </c>
      <c r="E47" t="str">
        <f>Registro_OT!H33</f>
        <v>Sergio Valdés</v>
      </c>
      <c r="F47" t="str">
        <f>Registro_OT!J33</f>
        <v>PRES-1032</v>
      </c>
      <c r="G47" s="40">
        <f>Registro_OT!L33</f>
        <v>1172390</v>
      </c>
      <c r="H47" t="str">
        <f>Registro_OT!M33</f>
        <v>Aprobado</v>
      </c>
      <c r="I47" t="str">
        <f>Registro_OT!N33</f>
        <v>OC-5032</v>
      </c>
      <c r="J47" s="40">
        <f>Registro_OT!P33</f>
        <v>1172390</v>
      </c>
      <c r="K47" t="str">
        <f>Registro_OT!Q33</f>
        <v>Recibida</v>
      </c>
      <c r="L47" t="str">
        <f>Registro_OT!R33</f>
        <v>FACT-3032</v>
      </c>
      <c r="M47" s="40">
        <f>Registro_OT!T33</f>
        <v>1172390</v>
      </c>
      <c r="N47" s="41" t="str">
        <f>Registro_OT!W33</f>
        <v>CUADRADO (3-WAY OK)</v>
      </c>
      <c r="O47">
        <f>Registro_OT!AM33</f>
        <v>1</v>
      </c>
    </row>
    <row r="48" spans="2:15" x14ac:dyDescent="0.25">
      <c r="B48" t="str">
        <f>Registro_OT!A34</f>
        <v>OT-0033</v>
      </c>
      <c r="C48" t="str">
        <f>Registro_OT!B34</f>
        <v>CLI-014</v>
      </c>
      <c r="D48" t="str">
        <f>Registro_OT!C34</f>
        <v>LTSB-28</v>
      </c>
      <c r="E48" t="str">
        <f>Registro_OT!H34</f>
        <v>Cristian Araya</v>
      </c>
      <c r="F48" t="str">
        <f>Registro_OT!J34</f>
        <v>PRES-1033</v>
      </c>
      <c r="G48" s="40">
        <f>Registro_OT!L34</f>
        <v>1001280</v>
      </c>
      <c r="H48" t="str">
        <f>Registro_OT!M34</f>
        <v>Aprobado</v>
      </c>
      <c r="I48" t="str">
        <f>Registro_OT!N34</f>
        <v>OC-5033</v>
      </c>
      <c r="J48" s="40">
        <f>Registro_OT!P34</f>
        <v>1001280</v>
      </c>
      <c r="K48" t="str">
        <f>Registro_OT!Q34</f>
        <v>Recibida</v>
      </c>
      <c r="L48" t="str">
        <f>Registro_OT!R34</f>
        <v>FACT-3033</v>
      </c>
      <c r="M48" s="40">
        <f>Registro_OT!T34</f>
        <v>1001280</v>
      </c>
      <c r="N48" s="41" t="str">
        <f>Registro_OT!W34</f>
        <v>CUADRADO (3-WAY OK)</v>
      </c>
      <c r="O48">
        <f>Registro_OT!AM34</f>
        <v>1</v>
      </c>
    </row>
    <row r="49" spans="2:15" x14ac:dyDescent="0.25">
      <c r="B49" t="str">
        <f>Registro_OT!A35</f>
        <v>OT-0034</v>
      </c>
      <c r="C49" t="str">
        <f>Registro_OT!B35</f>
        <v>CLI-005</v>
      </c>
      <c r="D49" t="str">
        <f>Registro_OT!C35</f>
        <v>WTHH-65</v>
      </c>
      <c r="E49" t="str">
        <f>Registro_OT!H35</f>
        <v>Cristian Araya</v>
      </c>
      <c r="F49" t="str">
        <f>Registro_OT!J35</f>
        <v>PRES-1034</v>
      </c>
      <c r="G49" s="40">
        <f>Registro_OT!L35</f>
        <v>369280</v>
      </c>
      <c r="H49" t="str">
        <f>Registro_OT!M35</f>
        <v>Aprobado</v>
      </c>
      <c r="I49" t="str">
        <f>Registro_OT!N35</f>
        <v>OC-5034</v>
      </c>
      <c r="J49" s="40">
        <f>Registro_OT!P35</f>
        <v>369280</v>
      </c>
      <c r="K49" t="str">
        <f>Registro_OT!Q35</f>
        <v>Recibida</v>
      </c>
      <c r="L49" t="str">
        <f>Registro_OT!R35</f>
        <v>FACT-3034</v>
      </c>
      <c r="M49" s="40">
        <f>Registro_OT!T35</f>
        <v>369280</v>
      </c>
      <c r="N49" s="41" t="str">
        <f>Registro_OT!W35</f>
        <v>CUADRADO (3-WAY OK)</v>
      </c>
      <c r="O49">
        <f>Registro_OT!AM35</f>
        <v>1</v>
      </c>
    </row>
    <row r="50" spans="2:15" x14ac:dyDescent="0.25">
      <c r="B50" t="str">
        <f>Registro_OT!A36</f>
        <v>OT-0035</v>
      </c>
      <c r="C50" t="str">
        <f>Registro_OT!B36</f>
        <v>CLI-009</v>
      </c>
      <c r="D50" t="str">
        <f>Registro_OT!C36</f>
        <v>XWJW-59</v>
      </c>
      <c r="E50" t="str">
        <f>Registro_OT!H36</f>
        <v>Sergio Valdés</v>
      </c>
      <c r="F50" t="str">
        <f>Registro_OT!J36</f>
        <v>PRES-1035</v>
      </c>
      <c r="G50" s="40">
        <f>Registro_OT!L36</f>
        <v>979750</v>
      </c>
      <c r="H50" t="str">
        <f>Registro_OT!M36</f>
        <v>Aprobado</v>
      </c>
      <c r="I50" t="str">
        <f>Registro_OT!N36</f>
        <v>OC-5035</v>
      </c>
      <c r="J50" s="40">
        <f>Registro_OT!P36</f>
        <v>979750</v>
      </c>
      <c r="K50" t="str">
        <f>Registro_OT!Q36</f>
        <v>Recibida</v>
      </c>
      <c r="L50" t="str">
        <f>Registro_OT!R36</f>
        <v>FACT-3035</v>
      </c>
      <c r="M50" s="40">
        <f>Registro_OT!T36</f>
        <v>979750</v>
      </c>
      <c r="N50" s="41" t="str">
        <f>Registro_OT!W36</f>
        <v>CUADRADO (3-WAY OK)</v>
      </c>
      <c r="O50">
        <f>Registro_OT!AM36</f>
        <v>1</v>
      </c>
    </row>
    <row r="51" spans="2:15" x14ac:dyDescent="0.25">
      <c r="B51" t="str">
        <f>Registro_OT!A37</f>
        <v>OT-0036</v>
      </c>
      <c r="C51" t="str">
        <f>Registro_OT!B37</f>
        <v>CLI-001</v>
      </c>
      <c r="D51" t="str">
        <f>Registro_OT!C37</f>
        <v>FZSK-81</v>
      </c>
      <c r="E51" t="str">
        <f>Registro_OT!H37</f>
        <v>Marcelo Fuentes</v>
      </c>
      <c r="F51" t="str">
        <f>Registro_OT!J37</f>
        <v>PRES-1036</v>
      </c>
      <c r="G51" s="40">
        <f>Registro_OT!L37</f>
        <v>390620</v>
      </c>
      <c r="H51" t="str">
        <f>Registro_OT!M37</f>
        <v>Aprobado</v>
      </c>
      <c r="I51">
        <f>Registro_OT!N37</f>
        <v>0</v>
      </c>
      <c r="J51" s="40">
        <f>Registro_OT!P37</f>
        <v>0</v>
      </c>
      <c r="K51" t="str">
        <f>Registro_OT!Q37</f>
        <v>Pendiente Emisión Mandante</v>
      </c>
      <c r="L51">
        <f>Registro_OT!R37</f>
        <v>0</v>
      </c>
      <c r="M51" s="40">
        <f>Registro_OT!T37</f>
        <v>0</v>
      </c>
      <c r="N51" s="41" t="str">
        <f>Registro_OT!W37</f>
        <v>Falta OC Mandante</v>
      </c>
      <c r="O51">
        <f>Registro_OT!AM37</f>
        <v>1</v>
      </c>
    </row>
    <row r="52" spans="2:15" x14ac:dyDescent="0.25">
      <c r="B52" t="str">
        <f>Registro_OT!A38</f>
        <v>OT-0037</v>
      </c>
      <c r="C52" t="str">
        <f>Registro_OT!B38</f>
        <v>CLI-014</v>
      </c>
      <c r="D52" t="str">
        <f>Registro_OT!C38</f>
        <v>ZKCC-61</v>
      </c>
      <c r="E52" t="str">
        <f>Registro_OT!H38</f>
        <v>Cristian Araya</v>
      </c>
      <c r="F52" t="str">
        <f>Registro_OT!J38</f>
        <v>PRES-1037</v>
      </c>
      <c r="G52" s="40">
        <f>Registro_OT!L38</f>
        <v>252580</v>
      </c>
      <c r="H52" t="str">
        <f>Registro_OT!M38</f>
        <v>Aprobado</v>
      </c>
      <c r="I52" t="str">
        <f>Registro_OT!N38</f>
        <v>OC-5037</v>
      </c>
      <c r="J52" s="40">
        <f>Registro_OT!P38</f>
        <v>252580</v>
      </c>
      <c r="K52" t="str">
        <f>Registro_OT!Q38</f>
        <v>Recibida</v>
      </c>
      <c r="L52" t="str">
        <f>Registro_OT!R38</f>
        <v>FACT-3037</v>
      </c>
      <c r="M52" s="40">
        <f>Registro_OT!T38</f>
        <v>252580</v>
      </c>
      <c r="N52" s="41" t="str">
        <f>Registro_OT!W38</f>
        <v>CUADRADO (3-WAY OK)</v>
      </c>
      <c r="O52">
        <f>Registro_OT!AM38</f>
        <v>1</v>
      </c>
    </row>
    <row r="53" spans="2:15" x14ac:dyDescent="0.25">
      <c r="B53" t="str">
        <f>Registro_OT!A39</f>
        <v>OT-0038</v>
      </c>
      <c r="C53" t="str">
        <f>Registro_OT!B39</f>
        <v>CLI-005</v>
      </c>
      <c r="D53" t="str">
        <f>Registro_OT!C39</f>
        <v>VXLB-53</v>
      </c>
      <c r="E53" t="str">
        <f>Registro_OT!H39</f>
        <v>Daniela Mora</v>
      </c>
      <c r="F53" t="str">
        <f>Registro_OT!J39</f>
        <v>PRES-1038</v>
      </c>
      <c r="G53" s="40">
        <f>Registro_OT!L39</f>
        <v>1103510</v>
      </c>
      <c r="H53" t="str">
        <f>Registro_OT!M39</f>
        <v>Aprobado</v>
      </c>
      <c r="I53" t="str">
        <f>Registro_OT!N39</f>
        <v>OC-5038</v>
      </c>
      <c r="J53" s="40">
        <f>Registro_OT!P39</f>
        <v>1103510</v>
      </c>
      <c r="K53" t="str">
        <f>Registro_OT!Q39</f>
        <v>Recibida</v>
      </c>
      <c r="L53" t="str">
        <f>Registro_OT!R39</f>
        <v>FACT-3038</v>
      </c>
      <c r="M53" s="40">
        <f>Registro_OT!T39</f>
        <v>1103510</v>
      </c>
      <c r="N53" s="41" t="str">
        <f>Registro_OT!W39</f>
        <v>CUADRADO (3-WAY OK)</v>
      </c>
      <c r="O53">
        <f>Registro_OT!AM39</f>
        <v>1</v>
      </c>
    </row>
    <row r="54" spans="2:15" x14ac:dyDescent="0.25">
      <c r="B54" t="str">
        <f>Registro_OT!A40</f>
        <v>OT-0039</v>
      </c>
      <c r="C54" t="str">
        <f>Registro_OT!B40</f>
        <v>CLI-013</v>
      </c>
      <c r="D54" t="str">
        <f>Registro_OT!C40</f>
        <v>LJGY-17</v>
      </c>
      <c r="E54" t="str">
        <f>Registro_OT!H40</f>
        <v>Luis Contreras</v>
      </c>
      <c r="F54" t="str">
        <f>Registro_OT!J40</f>
        <v>PRES-1039</v>
      </c>
      <c r="G54" s="40">
        <f>Registro_OT!L40</f>
        <v>741970</v>
      </c>
      <c r="H54" t="str">
        <f>Registro_OT!M40</f>
        <v>Aprobado</v>
      </c>
      <c r="I54" t="str">
        <f>Registro_OT!N40</f>
        <v>OC-5039</v>
      </c>
      <c r="J54" s="40">
        <f>Registro_OT!P40</f>
        <v>741970</v>
      </c>
      <c r="K54" t="str">
        <f>Registro_OT!Q40</f>
        <v>Recibida</v>
      </c>
      <c r="L54" t="str">
        <f>Registro_OT!R40</f>
        <v>FACT-3039</v>
      </c>
      <c r="M54" s="40">
        <f>Registro_OT!T40</f>
        <v>741970</v>
      </c>
      <c r="N54" s="41" t="str">
        <f>Registro_OT!W40</f>
        <v>CUADRADO (3-WAY OK)</v>
      </c>
      <c r="O54">
        <f>Registro_OT!AM40</f>
        <v>1</v>
      </c>
    </row>
    <row r="55" spans="2:15" x14ac:dyDescent="0.25">
      <c r="B55" t="str">
        <f>Registro_OT!A41</f>
        <v>OT-0040</v>
      </c>
      <c r="C55" t="str">
        <f>Registro_OT!B41</f>
        <v>CLI-013</v>
      </c>
      <c r="D55" t="str">
        <f>Registro_OT!C41</f>
        <v>DGLZ-97</v>
      </c>
      <c r="E55" t="str">
        <f>Registro_OT!H41</f>
        <v>Daniela Mora</v>
      </c>
      <c r="F55" t="str">
        <f>Registro_OT!J41</f>
        <v>PRES-1040</v>
      </c>
      <c r="G55" s="40">
        <f>Registro_OT!L41</f>
        <v>526240</v>
      </c>
      <c r="H55" t="str">
        <f>Registro_OT!M41</f>
        <v>Aprobado</v>
      </c>
      <c r="I55" t="str">
        <f>Registro_OT!N41</f>
        <v>OC-5040</v>
      </c>
      <c r="J55" s="40">
        <f>Registro_OT!P41</f>
        <v>526240</v>
      </c>
      <c r="K55" t="str">
        <f>Registro_OT!Q41</f>
        <v>Recibida</v>
      </c>
      <c r="L55" t="str">
        <f>Registro_OT!R41</f>
        <v>FACT-3040</v>
      </c>
      <c r="M55" s="40">
        <f>Registro_OT!T41</f>
        <v>526240</v>
      </c>
      <c r="N55" s="41" t="str">
        <f>Registro_OT!W41</f>
        <v>CUADRADO (3-WAY OK)</v>
      </c>
      <c r="O55">
        <f>Registro_OT!AM41</f>
        <v>1</v>
      </c>
    </row>
    <row r="56" spans="2:15" x14ac:dyDescent="0.25">
      <c r="B56" t="str">
        <f>Registro_OT!A42</f>
        <v>OT-0041</v>
      </c>
      <c r="C56" t="str">
        <f>Registro_OT!B42</f>
        <v>CLI-005</v>
      </c>
      <c r="D56" t="str">
        <f>Registro_OT!C42</f>
        <v>YKBP-22</v>
      </c>
      <c r="E56" t="str">
        <f>Registro_OT!H42</f>
        <v>Héctor Pizarro</v>
      </c>
      <c r="F56" t="str">
        <f>Registro_OT!J42</f>
        <v>PRES-1041</v>
      </c>
      <c r="G56" s="40">
        <f>Registro_OT!L42</f>
        <v>433040</v>
      </c>
      <c r="H56" t="str">
        <f>Registro_OT!M42</f>
        <v>Aprobado</v>
      </c>
      <c r="I56" t="str">
        <f>Registro_OT!N42</f>
        <v>OC-5041</v>
      </c>
      <c r="J56" s="40">
        <f>Registro_OT!P42</f>
        <v>433040</v>
      </c>
      <c r="K56" t="str">
        <f>Registro_OT!Q42</f>
        <v>Recibida</v>
      </c>
      <c r="L56" t="str">
        <f>Registro_OT!R42</f>
        <v>FACT-3041</v>
      </c>
      <c r="M56" s="40">
        <f>Registro_OT!T42</f>
        <v>433040</v>
      </c>
      <c r="N56" s="41" t="str">
        <f>Registro_OT!W42</f>
        <v>CUADRADO (3-WAY OK)</v>
      </c>
      <c r="O56">
        <f>Registro_OT!AM42</f>
        <v>1</v>
      </c>
    </row>
    <row r="57" spans="2:15" x14ac:dyDescent="0.25">
      <c r="B57" t="str">
        <f>Registro_OT!A43</f>
        <v>OT-0042</v>
      </c>
      <c r="C57" t="str">
        <f>Registro_OT!B43</f>
        <v>CLI-016</v>
      </c>
      <c r="D57" t="str">
        <f>Registro_OT!C43</f>
        <v>CSFY-44</v>
      </c>
      <c r="E57" t="str">
        <f>Registro_OT!H43</f>
        <v>Marcelo Fuentes</v>
      </c>
      <c r="F57" t="str">
        <f>Registro_OT!J43</f>
        <v>PRES-1042</v>
      </c>
      <c r="G57" s="40">
        <f>Registro_OT!L43</f>
        <v>143860</v>
      </c>
      <c r="H57" t="str">
        <f>Registro_OT!M43</f>
        <v>Aprobado</v>
      </c>
      <c r="I57" t="str">
        <f>Registro_OT!N43</f>
        <v>OC-5042</v>
      </c>
      <c r="J57" s="40">
        <f>Registro_OT!P43</f>
        <v>128860</v>
      </c>
      <c r="K57" t="str">
        <f>Registro_OT!Q43</f>
        <v>Recibida</v>
      </c>
      <c r="L57" t="str">
        <f>Registro_OT!R43</f>
        <v>FACT-3042</v>
      </c>
      <c r="M57" s="40">
        <f>Registro_OT!T43</f>
        <v>143860</v>
      </c>
      <c r="N57" s="41" t="str">
        <f>Registro_OT!W43</f>
        <v>DESCUADRE DE MONTOS</v>
      </c>
      <c r="O57">
        <f>Registro_OT!AM43</f>
        <v>1</v>
      </c>
    </row>
    <row r="58" spans="2:15" x14ac:dyDescent="0.25">
      <c r="B58" t="str">
        <f>Registro_OT!A44</f>
        <v>OT-0043</v>
      </c>
      <c r="C58" t="str">
        <f>Registro_OT!B44</f>
        <v>CLI-005</v>
      </c>
      <c r="D58" t="str">
        <f>Registro_OT!C44</f>
        <v>RGDP-37</v>
      </c>
      <c r="E58" t="str">
        <f>Registro_OT!H44</f>
        <v>Marcelo Fuentes</v>
      </c>
      <c r="F58" t="str">
        <f>Registro_OT!J44</f>
        <v>PRES-1043</v>
      </c>
      <c r="G58" s="40">
        <f>Registro_OT!L44</f>
        <v>735390</v>
      </c>
      <c r="H58" t="str">
        <f>Registro_OT!M44</f>
        <v>Aprobado</v>
      </c>
      <c r="I58" t="str">
        <f>Registro_OT!N44</f>
        <v>OC-5043</v>
      </c>
      <c r="J58" s="40">
        <f>Registro_OT!P44</f>
        <v>735390</v>
      </c>
      <c r="K58" t="str">
        <f>Registro_OT!Q44</f>
        <v>Recibida</v>
      </c>
      <c r="L58" t="str">
        <f>Registro_OT!R44</f>
        <v>FACT-3043</v>
      </c>
      <c r="M58" s="40">
        <f>Registro_OT!T44</f>
        <v>735390</v>
      </c>
      <c r="N58" s="41" t="str">
        <f>Registro_OT!W44</f>
        <v>CUADRADO (3-WAY OK)</v>
      </c>
      <c r="O58">
        <f>Registro_OT!AM44</f>
        <v>1</v>
      </c>
    </row>
    <row r="59" spans="2:15" x14ac:dyDescent="0.25">
      <c r="B59" t="str">
        <f>Registro_OT!A45</f>
        <v>OT-0044</v>
      </c>
      <c r="C59" t="str">
        <f>Registro_OT!B45</f>
        <v>CLI-006</v>
      </c>
      <c r="D59" t="str">
        <f>Registro_OT!C45</f>
        <v>SYSL-42</v>
      </c>
      <c r="E59" t="str">
        <f>Registro_OT!H45</f>
        <v>Cristian Araya</v>
      </c>
      <c r="F59" t="str">
        <f>Registro_OT!J45</f>
        <v>PRES-1044</v>
      </c>
      <c r="G59" s="40">
        <f>Registro_OT!L45</f>
        <v>503620</v>
      </c>
      <c r="H59" t="str">
        <f>Registro_OT!M45</f>
        <v>Aprobado</v>
      </c>
      <c r="I59" t="str">
        <f>Registro_OT!N45</f>
        <v>OC-5044</v>
      </c>
      <c r="J59" s="40">
        <f>Registro_OT!P45</f>
        <v>503620</v>
      </c>
      <c r="K59" t="str">
        <f>Registro_OT!Q45</f>
        <v>Recibida</v>
      </c>
      <c r="L59" t="str">
        <f>Registro_OT!R45</f>
        <v>FACT-3044</v>
      </c>
      <c r="M59" s="40">
        <f>Registro_OT!T45</f>
        <v>503620</v>
      </c>
      <c r="N59" s="41" t="str">
        <f>Registro_OT!W45</f>
        <v>CUADRADO (3-WAY OK)</v>
      </c>
      <c r="O59">
        <f>Registro_OT!AM45</f>
        <v>1</v>
      </c>
    </row>
    <row r="60" spans="2:15" x14ac:dyDescent="0.25">
      <c r="B60" t="str">
        <f>Registro_OT!A46</f>
        <v>OT-0045</v>
      </c>
      <c r="C60" t="str">
        <f>Registro_OT!B46</f>
        <v>CLI-006</v>
      </c>
      <c r="D60" t="str">
        <f>Registro_OT!C46</f>
        <v>JXLB-86</v>
      </c>
      <c r="E60" t="str">
        <f>Registro_OT!H46</f>
        <v>Luis Contreras</v>
      </c>
      <c r="F60" t="str">
        <f>Registro_OT!J46</f>
        <v>PRES-1045</v>
      </c>
      <c r="G60" s="40">
        <f>Registro_OT!L46</f>
        <v>908960</v>
      </c>
      <c r="H60" t="str">
        <f>Registro_OT!M46</f>
        <v>Aprobado</v>
      </c>
      <c r="I60">
        <f>Registro_OT!N46</f>
        <v>0</v>
      </c>
      <c r="J60" s="40">
        <f>Registro_OT!P46</f>
        <v>0</v>
      </c>
      <c r="K60" t="str">
        <f>Registro_OT!Q46</f>
        <v>Pendiente Emisión Mandante</v>
      </c>
      <c r="L60">
        <f>Registro_OT!R46</f>
        <v>0</v>
      </c>
      <c r="M60" s="40">
        <f>Registro_OT!T46</f>
        <v>0</v>
      </c>
      <c r="N60" s="41" t="str">
        <f>Registro_OT!W46</f>
        <v>Falta OC Mandante</v>
      </c>
      <c r="O60">
        <f>Registro_OT!AM46</f>
        <v>1</v>
      </c>
    </row>
    <row r="61" spans="2:15" x14ac:dyDescent="0.25">
      <c r="B61" t="str">
        <f>Registro_OT!A47</f>
        <v>OT-0046</v>
      </c>
      <c r="C61" t="str">
        <f>Registro_OT!B47</f>
        <v>CLI-018</v>
      </c>
      <c r="D61" t="str">
        <f>Registro_OT!C47</f>
        <v>CRFS-41</v>
      </c>
      <c r="E61" t="str">
        <f>Registro_OT!H47</f>
        <v>Héctor Pizarro</v>
      </c>
      <c r="F61" t="str">
        <f>Registro_OT!J47</f>
        <v>PRES-1046</v>
      </c>
      <c r="G61" s="40">
        <f>Registro_OT!L47</f>
        <v>1095210</v>
      </c>
      <c r="H61" t="str">
        <f>Registro_OT!M47</f>
        <v>Aprobado</v>
      </c>
      <c r="I61" t="str">
        <f>Registro_OT!N47</f>
        <v>OC-5046</v>
      </c>
      <c r="J61" s="40">
        <f>Registro_OT!P47</f>
        <v>1095210</v>
      </c>
      <c r="K61" t="str">
        <f>Registro_OT!Q47</f>
        <v>Recibida</v>
      </c>
      <c r="L61" t="str">
        <f>Registro_OT!R47</f>
        <v>FACT-3046</v>
      </c>
      <c r="M61" s="40">
        <f>Registro_OT!T47</f>
        <v>1095210</v>
      </c>
      <c r="N61" s="41" t="str">
        <f>Registro_OT!W47</f>
        <v>CUADRADO (3-WAY OK)</v>
      </c>
      <c r="O61">
        <f>Registro_OT!AM47</f>
        <v>1</v>
      </c>
    </row>
    <row r="62" spans="2:15" x14ac:dyDescent="0.25">
      <c r="B62" t="str">
        <f>Registro_OT!A48</f>
        <v>OT-0047</v>
      </c>
      <c r="C62" t="str">
        <f>Registro_OT!B48</f>
        <v>CLI-017</v>
      </c>
      <c r="D62" t="str">
        <f>Registro_OT!C48</f>
        <v>DTVW-45</v>
      </c>
      <c r="E62" t="str">
        <f>Registro_OT!H48</f>
        <v>Daniela Mora</v>
      </c>
      <c r="F62" t="str">
        <f>Registro_OT!J48</f>
        <v>PRES-1047</v>
      </c>
      <c r="G62" s="40">
        <f>Registro_OT!L48</f>
        <v>489220</v>
      </c>
      <c r="H62" t="str">
        <f>Registro_OT!M48</f>
        <v>Aprobado</v>
      </c>
      <c r="I62" t="str">
        <f>Registro_OT!N48</f>
        <v>OC-5047</v>
      </c>
      <c r="J62" s="40">
        <f>Registro_OT!P48</f>
        <v>489220</v>
      </c>
      <c r="K62" t="str">
        <f>Registro_OT!Q48</f>
        <v>Recibida</v>
      </c>
      <c r="L62" t="str">
        <f>Registro_OT!R48</f>
        <v>FACT-3047</v>
      </c>
      <c r="M62" s="40">
        <f>Registro_OT!T48</f>
        <v>489220</v>
      </c>
      <c r="N62" s="41" t="str">
        <f>Registro_OT!W48</f>
        <v>CUADRADO (3-WAY OK)</v>
      </c>
      <c r="O62">
        <f>Registro_OT!AM48</f>
        <v>1</v>
      </c>
    </row>
    <row r="63" spans="2:15" x14ac:dyDescent="0.25">
      <c r="B63" t="str">
        <f>Registro_OT!A49</f>
        <v>OT-0048</v>
      </c>
      <c r="C63" t="str">
        <f>Registro_OT!B49</f>
        <v>CLI-013</v>
      </c>
      <c r="D63" t="str">
        <f>Registro_OT!C49</f>
        <v>KSXC-85</v>
      </c>
      <c r="E63" t="str">
        <f>Registro_OT!H49</f>
        <v>Andrea Salinas</v>
      </c>
      <c r="F63" t="str">
        <f>Registro_OT!J49</f>
        <v>PRES-1048</v>
      </c>
      <c r="G63" s="40">
        <f>Registro_OT!L49</f>
        <v>427800</v>
      </c>
      <c r="H63" t="str">
        <f>Registro_OT!M49</f>
        <v>Aprobado</v>
      </c>
      <c r="I63" t="str">
        <f>Registro_OT!N49</f>
        <v>OC-5048</v>
      </c>
      <c r="J63" s="40">
        <f>Registro_OT!P49</f>
        <v>427800</v>
      </c>
      <c r="K63" t="str">
        <f>Registro_OT!Q49</f>
        <v>Recibida</v>
      </c>
      <c r="L63" t="str">
        <f>Registro_OT!R49</f>
        <v>FACT-3048</v>
      </c>
      <c r="M63" s="40">
        <f>Registro_OT!T49</f>
        <v>427800</v>
      </c>
      <c r="N63" s="41" t="str">
        <f>Registro_OT!W49</f>
        <v>CUADRADO (3-WAY OK)</v>
      </c>
      <c r="O63">
        <f>Registro_OT!AM49</f>
        <v>1</v>
      </c>
    </row>
    <row r="64" spans="2:15" x14ac:dyDescent="0.25">
      <c r="B64" t="str">
        <f>Registro_OT!A50</f>
        <v>OT-0049</v>
      </c>
      <c r="C64" t="str">
        <f>Registro_OT!B50</f>
        <v>CLI-005</v>
      </c>
      <c r="D64" t="str">
        <f>Registro_OT!C50</f>
        <v>SVJS-17</v>
      </c>
      <c r="E64" t="str">
        <f>Registro_OT!H50</f>
        <v>Marcelo Fuentes</v>
      </c>
      <c r="F64" t="str">
        <f>Registro_OT!J50</f>
        <v>PRES-1049</v>
      </c>
      <c r="G64" s="40">
        <f>Registro_OT!L50</f>
        <v>715800</v>
      </c>
      <c r="H64" t="str">
        <f>Registro_OT!M50</f>
        <v>Aprobado</v>
      </c>
      <c r="I64" t="str">
        <f>Registro_OT!N50</f>
        <v>OC-5049</v>
      </c>
      <c r="J64" s="40">
        <f>Registro_OT!P50</f>
        <v>715800</v>
      </c>
      <c r="K64" t="str">
        <f>Registro_OT!Q50</f>
        <v>Recibida</v>
      </c>
      <c r="L64" t="str">
        <f>Registro_OT!R50</f>
        <v>FACT-3049</v>
      </c>
      <c r="M64" s="40">
        <f>Registro_OT!T50</f>
        <v>715800</v>
      </c>
      <c r="N64" s="41" t="str">
        <f>Registro_OT!W50</f>
        <v>CUADRADO (3-WAY OK)</v>
      </c>
      <c r="O64">
        <f>Registro_OT!AM50</f>
        <v>1</v>
      </c>
    </row>
    <row r="65" spans="2:15" x14ac:dyDescent="0.25">
      <c r="B65" t="str">
        <f>Registro_OT!A51</f>
        <v>OT-0050</v>
      </c>
      <c r="C65" t="str">
        <f>Registro_OT!B51</f>
        <v>CLI-004</v>
      </c>
      <c r="D65" t="str">
        <f>Registro_OT!C51</f>
        <v>YPZD-40</v>
      </c>
      <c r="E65" t="str">
        <f>Registro_OT!H51</f>
        <v>Andrea Salinas</v>
      </c>
      <c r="F65" t="str">
        <f>Registro_OT!J51</f>
        <v>PRES-1050</v>
      </c>
      <c r="G65" s="40">
        <f>Registro_OT!L51</f>
        <v>304270</v>
      </c>
      <c r="H65" t="str">
        <f>Registro_OT!M51</f>
        <v>Aprobado</v>
      </c>
      <c r="I65" t="str">
        <f>Registro_OT!N51</f>
        <v>OC-5050</v>
      </c>
      <c r="J65" s="40">
        <f>Registro_OT!P51</f>
        <v>304270</v>
      </c>
      <c r="K65" t="str">
        <f>Registro_OT!Q51</f>
        <v>Recibida</v>
      </c>
      <c r="L65" t="str">
        <f>Registro_OT!R51</f>
        <v>FACT-3050</v>
      </c>
      <c r="M65" s="40">
        <f>Registro_OT!T51</f>
        <v>304270</v>
      </c>
      <c r="N65" s="41" t="str">
        <f>Registro_OT!W51</f>
        <v>CUADRADO (3-WAY OK)</v>
      </c>
      <c r="O65">
        <f>Registro_OT!AM51</f>
        <v>1</v>
      </c>
    </row>
    <row r="66" spans="2:15" x14ac:dyDescent="0.25">
      <c r="B66" t="str">
        <f>Registro_OT!A52</f>
        <v>OT-0051</v>
      </c>
      <c r="C66" t="str">
        <f>Registro_OT!B52</f>
        <v>CLI-012</v>
      </c>
      <c r="D66" t="str">
        <f>Registro_OT!C52</f>
        <v>YJTS-91</v>
      </c>
      <c r="E66" t="str">
        <f>Registro_OT!H52</f>
        <v>Luis Contreras</v>
      </c>
      <c r="F66" t="str">
        <f>Registro_OT!J52</f>
        <v>PRES-1051</v>
      </c>
      <c r="G66" s="40">
        <f>Registro_OT!L52</f>
        <v>309980</v>
      </c>
      <c r="H66" t="str">
        <f>Registro_OT!M52</f>
        <v>Aprobado</v>
      </c>
      <c r="I66" t="str">
        <f>Registro_OT!N52</f>
        <v>OC-5051</v>
      </c>
      <c r="J66" s="40">
        <f>Registro_OT!P52</f>
        <v>309980</v>
      </c>
      <c r="K66" t="str">
        <f>Registro_OT!Q52</f>
        <v>Recibida</v>
      </c>
      <c r="L66" t="str">
        <f>Registro_OT!R52</f>
        <v>FACT-3051</v>
      </c>
      <c r="M66" s="40">
        <f>Registro_OT!T52</f>
        <v>309980</v>
      </c>
      <c r="N66" s="41" t="str">
        <f>Registro_OT!W52</f>
        <v>CUADRADO (3-WAY OK)</v>
      </c>
      <c r="O66">
        <f>Registro_OT!AM52</f>
        <v>1</v>
      </c>
    </row>
    <row r="67" spans="2:15" x14ac:dyDescent="0.25">
      <c r="B67" t="str">
        <f>Registro_OT!A53</f>
        <v>OT-0052</v>
      </c>
      <c r="C67" t="str">
        <f>Registro_OT!B53</f>
        <v>CLI-014</v>
      </c>
      <c r="D67" t="str">
        <f>Registro_OT!C53</f>
        <v>PYHG-48</v>
      </c>
      <c r="E67" t="str">
        <f>Registro_OT!H53</f>
        <v>Cristian Araya</v>
      </c>
      <c r="F67" t="str">
        <f>Registro_OT!J53</f>
        <v>PRES-1052</v>
      </c>
      <c r="G67" s="40">
        <f>Registro_OT!L53</f>
        <v>151200</v>
      </c>
      <c r="H67" t="str">
        <f>Registro_OT!M53</f>
        <v>Aprobado</v>
      </c>
      <c r="I67" t="str">
        <f>Registro_OT!N53</f>
        <v>OC-5052</v>
      </c>
      <c r="J67" s="40">
        <f>Registro_OT!P53</f>
        <v>151200</v>
      </c>
      <c r="K67" t="str">
        <f>Registro_OT!Q53</f>
        <v>Recibida</v>
      </c>
      <c r="L67" t="str">
        <f>Registro_OT!R53</f>
        <v>FACT-3052</v>
      </c>
      <c r="M67" s="40">
        <f>Registro_OT!T53</f>
        <v>151200</v>
      </c>
      <c r="N67" s="41" t="str">
        <f>Registro_OT!W53</f>
        <v>CUADRADO (3-WAY OK)</v>
      </c>
      <c r="O67">
        <f>Registro_OT!AM53</f>
        <v>1</v>
      </c>
    </row>
    <row r="68" spans="2:15" x14ac:dyDescent="0.25">
      <c r="B68" t="str">
        <f>Registro_OT!A54</f>
        <v>OT-0053</v>
      </c>
      <c r="C68" t="str">
        <f>Registro_OT!B54</f>
        <v>CLI-007</v>
      </c>
      <c r="D68" t="str">
        <f>Registro_OT!C54</f>
        <v>JWBR-46</v>
      </c>
      <c r="E68" t="str">
        <f>Registro_OT!H54</f>
        <v>Marcelo Fuentes</v>
      </c>
      <c r="F68" t="str">
        <f>Registro_OT!J54</f>
        <v>PRES-1053</v>
      </c>
      <c r="G68" s="40">
        <f>Registro_OT!L54</f>
        <v>160500</v>
      </c>
      <c r="H68" t="str">
        <f>Registro_OT!M54</f>
        <v>Aprobado</v>
      </c>
      <c r="I68" t="str">
        <f>Registro_OT!N54</f>
        <v>OC-5053</v>
      </c>
      <c r="J68" s="40">
        <f>Registro_OT!P54</f>
        <v>160500</v>
      </c>
      <c r="K68" t="str">
        <f>Registro_OT!Q54</f>
        <v>Recibida</v>
      </c>
      <c r="L68" t="str">
        <f>Registro_OT!R54</f>
        <v>FACT-3053</v>
      </c>
      <c r="M68" s="40">
        <f>Registro_OT!T54</f>
        <v>160500</v>
      </c>
      <c r="N68" s="41" t="str">
        <f>Registro_OT!W54</f>
        <v>CUADRADO (3-WAY OK)</v>
      </c>
      <c r="O68">
        <f>Registro_OT!AM54</f>
        <v>1</v>
      </c>
    </row>
    <row r="69" spans="2:15" x14ac:dyDescent="0.25">
      <c r="B69" t="str">
        <f>Registro_OT!A55</f>
        <v>OT-0054</v>
      </c>
      <c r="C69" t="str">
        <f>Registro_OT!B55</f>
        <v>CLI-018</v>
      </c>
      <c r="D69" t="str">
        <f>Registro_OT!C55</f>
        <v>BVXG-76</v>
      </c>
      <c r="E69" t="str">
        <f>Registro_OT!H55</f>
        <v>Cristian Araya</v>
      </c>
      <c r="F69" t="str">
        <f>Registro_OT!J55</f>
        <v>PRES-1054</v>
      </c>
      <c r="G69" s="40">
        <f>Registro_OT!L55</f>
        <v>480680</v>
      </c>
      <c r="H69" t="str">
        <f>Registro_OT!M55</f>
        <v>Aprobado</v>
      </c>
      <c r="I69">
        <f>Registro_OT!N55</f>
        <v>0</v>
      </c>
      <c r="J69" s="40">
        <f>Registro_OT!P55</f>
        <v>0</v>
      </c>
      <c r="K69" t="str">
        <f>Registro_OT!Q55</f>
        <v>Pendiente Emisión Mandante</v>
      </c>
      <c r="L69">
        <f>Registro_OT!R55</f>
        <v>0</v>
      </c>
      <c r="M69" s="40">
        <f>Registro_OT!T55</f>
        <v>0</v>
      </c>
      <c r="N69" s="41" t="str">
        <f>Registro_OT!W55</f>
        <v>Falta OC Mandante</v>
      </c>
      <c r="O69">
        <f>Registro_OT!AM55</f>
        <v>1</v>
      </c>
    </row>
    <row r="70" spans="2:15" x14ac:dyDescent="0.25">
      <c r="B70" t="str">
        <f>Registro_OT!A56</f>
        <v>OT-0055</v>
      </c>
      <c r="C70" t="str">
        <f>Registro_OT!B56</f>
        <v>CLI-005</v>
      </c>
      <c r="D70" t="str">
        <f>Registro_OT!C56</f>
        <v>ZHJH-31</v>
      </c>
      <c r="E70" t="str">
        <f>Registro_OT!H56</f>
        <v>Daniela Mora</v>
      </c>
      <c r="F70" t="str">
        <f>Registro_OT!J56</f>
        <v>PRES-1055</v>
      </c>
      <c r="G70" s="40">
        <f>Registro_OT!L56</f>
        <v>2284860</v>
      </c>
      <c r="H70" t="str">
        <f>Registro_OT!M56</f>
        <v>Aprobado</v>
      </c>
      <c r="I70" t="str">
        <f>Registro_OT!N56</f>
        <v>OC-5055</v>
      </c>
      <c r="J70" s="40">
        <f>Registro_OT!P56</f>
        <v>2284860</v>
      </c>
      <c r="K70" t="str">
        <f>Registro_OT!Q56</f>
        <v>Recibida</v>
      </c>
      <c r="L70" t="str">
        <f>Registro_OT!R56</f>
        <v>FACT-3055</v>
      </c>
      <c r="M70" s="40">
        <f>Registro_OT!T56</f>
        <v>2284860</v>
      </c>
      <c r="N70" s="41" t="str">
        <f>Registro_OT!W56</f>
        <v>CUADRADO (3-WAY OK)</v>
      </c>
      <c r="O70">
        <f>Registro_OT!AM56</f>
        <v>1</v>
      </c>
    </row>
    <row r="71" spans="2:15" x14ac:dyDescent="0.25">
      <c r="B71" t="str">
        <f>Registro_OT!A57</f>
        <v>OT-0056</v>
      </c>
      <c r="C71" t="str">
        <f>Registro_OT!B57</f>
        <v>CLI-012</v>
      </c>
      <c r="D71" t="str">
        <f>Registro_OT!C57</f>
        <v>HJKV-56</v>
      </c>
      <c r="E71" t="str">
        <f>Registro_OT!H57</f>
        <v>Patricio Rojas</v>
      </c>
      <c r="F71" t="str">
        <f>Registro_OT!J57</f>
        <v>PRES-1056</v>
      </c>
      <c r="G71" s="40">
        <f>Registro_OT!L57</f>
        <v>670410</v>
      </c>
      <c r="H71" t="str">
        <f>Registro_OT!M57</f>
        <v>Aprobado</v>
      </c>
      <c r="I71" t="str">
        <f>Registro_OT!N57</f>
        <v>OC-5056</v>
      </c>
      <c r="J71" s="40">
        <f>Registro_OT!P57</f>
        <v>670410</v>
      </c>
      <c r="K71" t="str">
        <f>Registro_OT!Q57</f>
        <v>Recibida</v>
      </c>
      <c r="L71" t="str">
        <f>Registro_OT!R57</f>
        <v>FACT-3056</v>
      </c>
      <c r="M71" s="40">
        <f>Registro_OT!T57</f>
        <v>670410</v>
      </c>
      <c r="N71" s="41" t="str">
        <f>Registro_OT!W57</f>
        <v>CUADRADO (3-WAY OK)</v>
      </c>
      <c r="O71">
        <f>Registro_OT!AM57</f>
        <v>1</v>
      </c>
    </row>
    <row r="72" spans="2:15" x14ac:dyDescent="0.25">
      <c r="B72" t="str">
        <f>Registro_OT!A58</f>
        <v>OT-0057</v>
      </c>
      <c r="C72" t="str">
        <f>Registro_OT!B58</f>
        <v>CLI-006</v>
      </c>
      <c r="D72" t="str">
        <f>Registro_OT!C58</f>
        <v>XSFH-53</v>
      </c>
      <c r="E72" t="str">
        <f>Registro_OT!H58</f>
        <v>Andrea Salinas</v>
      </c>
      <c r="F72" t="str">
        <f>Registro_OT!J58</f>
        <v>PRES-1057</v>
      </c>
      <c r="G72" s="40">
        <f>Registro_OT!L58</f>
        <v>372460</v>
      </c>
      <c r="H72" t="str">
        <f>Registro_OT!M58</f>
        <v>Aprobado</v>
      </c>
      <c r="I72" t="str">
        <f>Registro_OT!N58</f>
        <v>OC-5057</v>
      </c>
      <c r="J72" s="40">
        <f>Registro_OT!P58</f>
        <v>372460</v>
      </c>
      <c r="K72" t="str">
        <f>Registro_OT!Q58</f>
        <v>Recibida</v>
      </c>
      <c r="L72" t="str">
        <f>Registro_OT!R58</f>
        <v>FACT-3057</v>
      </c>
      <c r="M72" s="40">
        <f>Registro_OT!T58</f>
        <v>372460</v>
      </c>
      <c r="N72" s="41" t="str">
        <f>Registro_OT!W58</f>
        <v>CUADRADO (3-WAY OK)</v>
      </c>
      <c r="O72">
        <f>Registro_OT!AM58</f>
        <v>1</v>
      </c>
    </row>
    <row r="73" spans="2:15" x14ac:dyDescent="0.25">
      <c r="B73" t="str">
        <f>Registro_OT!A59</f>
        <v>OT-0058</v>
      </c>
      <c r="C73" t="str">
        <f>Registro_OT!B59</f>
        <v>CLI-011</v>
      </c>
      <c r="D73" t="str">
        <f>Registro_OT!C59</f>
        <v>RLPF-61</v>
      </c>
      <c r="E73" t="str">
        <f>Registro_OT!H59</f>
        <v>Héctor Pizarro</v>
      </c>
      <c r="F73" t="str">
        <f>Registro_OT!J59</f>
        <v>PRES-1058</v>
      </c>
      <c r="G73" s="40">
        <f>Registro_OT!L59</f>
        <v>1320820</v>
      </c>
      <c r="H73" t="str">
        <f>Registro_OT!M59</f>
        <v>Aprobado</v>
      </c>
      <c r="I73" t="str">
        <f>Registro_OT!N59</f>
        <v>OC-5058</v>
      </c>
      <c r="J73" s="40">
        <f>Registro_OT!P59</f>
        <v>1320820</v>
      </c>
      <c r="K73" t="str">
        <f>Registro_OT!Q59</f>
        <v>Recibida</v>
      </c>
      <c r="L73" t="str">
        <f>Registro_OT!R59</f>
        <v>FACT-3058</v>
      </c>
      <c r="M73" s="40">
        <f>Registro_OT!T59</f>
        <v>1320820</v>
      </c>
      <c r="N73" s="41" t="str">
        <f>Registro_OT!W59</f>
        <v>CUADRADO (3-WAY OK)</v>
      </c>
      <c r="O73">
        <f>Registro_OT!AM59</f>
        <v>1</v>
      </c>
    </row>
    <row r="74" spans="2:15" x14ac:dyDescent="0.25">
      <c r="B74" t="str">
        <f>Registro_OT!A60</f>
        <v>OT-0059</v>
      </c>
      <c r="C74" t="str">
        <f>Registro_OT!B60</f>
        <v>CLI-017</v>
      </c>
      <c r="D74" t="str">
        <f>Registro_OT!C60</f>
        <v>YFPS-99</v>
      </c>
      <c r="E74" t="str">
        <f>Registro_OT!H60</f>
        <v>Luis Contreras</v>
      </c>
      <c r="F74" t="str">
        <f>Registro_OT!J60</f>
        <v>PRES-1059</v>
      </c>
      <c r="G74" s="40">
        <f>Registro_OT!L60</f>
        <v>245580</v>
      </c>
      <c r="H74" t="str">
        <f>Registro_OT!M60</f>
        <v>Aprobado</v>
      </c>
      <c r="I74" t="str">
        <f>Registro_OT!N60</f>
        <v>OC-5059</v>
      </c>
      <c r="J74" s="40">
        <f>Registro_OT!P60</f>
        <v>245580</v>
      </c>
      <c r="K74" t="str">
        <f>Registro_OT!Q60</f>
        <v>Recibida</v>
      </c>
      <c r="L74" t="str">
        <f>Registro_OT!R60</f>
        <v>FACT-3059</v>
      </c>
      <c r="M74" s="40">
        <f>Registro_OT!T60</f>
        <v>245580</v>
      </c>
      <c r="N74" s="41" t="str">
        <f>Registro_OT!W60</f>
        <v>CUADRADO (3-WAY OK)</v>
      </c>
      <c r="O74">
        <f>Registro_OT!AM60</f>
        <v>1</v>
      </c>
    </row>
    <row r="75" spans="2:15" x14ac:dyDescent="0.25">
      <c r="B75" t="str">
        <f>Registro_OT!A61</f>
        <v>OT-0060</v>
      </c>
      <c r="C75" t="str">
        <f>Registro_OT!B61</f>
        <v>CLI-011</v>
      </c>
      <c r="D75" t="str">
        <f>Registro_OT!C61</f>
        <v>PJYS-17</v>
      </c>
      <c r="E75" t="str">
        <f>Registro_OT!H61</f>
        <v>Cristian Araya</v>
      </c>
      <c r="F75" t="str">
        <f>Registro_OT!J61</f>
        <v>PRES-1060</v>
      </c>
      <c r="G75" s="40">
        <f>Registro_OT!L61</f>
        <v>141710</v>
      </c>
      <c r="H75" t="str">
        <f>Registro_OT!M61</f>
        <v>Aprobado</v>
      </c>
      <c r="I75" t="str">
        <f>Registro_OT!N61</f>
        <v>OC-5060</v>
      </c>
      <c r="J75" s="40">
        <f>Registro_OT!P61</f>
        <v>141710</v>
      </c>
      <c r="K75" t="str">
        <f>Registro_OT!Q61</f>
        <v>Recibida</v>
      </c>
      <c r="L75" t="str">
        <f>Registro_OT!R61</f>
        <v>FACT-3060</v>
      </c>
      <c r="M75" s="40">
        <f>Registro_OT!T61</f>
        <v>141710</v>
      </c>
      <c r="N75" s="41" t="str">
        <f>Registro_OT!W61</f>
        <v>CUADRADO (3-WAY OK)</v>
      </c>
      <c r="O75">
        <f>Registro_OT!AM61</f>
        <v>1</v>
      </c>
    </row>
    <row r="76" spans="2:15" x14ac:dyDescent="0.25">
      <c r="B76" t="str">
        <f>Registro_OT!A62</f>
        <v>OT-0061</v>
      </c>
      <c r="C76" t="str">
        <f>Registro_OT!B62</f>
        <v>CLI-017</v>
      </c>
      <c r="D76" t="str">
        <f>Registro_OT!C62</f>
        <v>PYBV-29</v>
      </c>
      <c r="E76" t="str">
        <f>Registro_OT!H62</f>
        <v>Cristian Araya</v>
      </c>
      <c r="F76" t="str">
        <f>Registro_OT!J62</f>
        <v>PRES-1061</v>
      </c>
      <c r="G76" s="40">
        <f>Registro_OT!L62</f>
        <v>402510</v>
      </c>
      <c r="H76" t="str">
        <f>Registro_OT!M62</f>
        <v>Aprobado</v>
      </c>
      <c r="I76" t="str">
        <f>Registro_OT!N62</f>
        <v>OC-5061</v>
      </c>
      <c r="J76" s="40">
        <f>Registro_OT!P62</f>
        <v>402510</v>
      </c>
      <c r="K76" t="str">
        <f>Registro_OT!Q62</f>
        <v>Recibida</v>
      </c>
      <c r="L76" t="str">
        <f>Registro_OT!R62</f>
        <v>FACT-3061</v>
      </c>
      <c r="M76" s="40">
        <f>Registro_OT!T62</f>
        <v>402510</v>
      </c>
      <c r="N76" s="41" t="str">
        <f>Registro_OT!W62</f>
        <v>CUADRADO (3-WAY OK)</v>
      </c>
      <c r="O76">
        <f>Registro_OT!AM62</f>
        <v>1</v>
      </c>
    </row>
    <row r="77" spans="2:15" x14ac:dyDescent="0.25">
      <c r="B77" t="str">
        <f>Registro_OT!A63</f>
        <v>OT-0062</v>
      </c>
      <c r="C77" t="str">
        <f>Registro_OT!B63</f>
        <v>CLI-012</v>
      </c>
      <c r="D77" t="str">
        <f>Registro_OT!C63</f>
        <v>SFRD-79</v>
      </c>
      <c r="E77" t="str">
        <f>Registro_OT!H63</f>
        <v>Luis Contreras</v>
      </c>
      <c r="F77" t="str">
        <f>Registro_OT!J63</f>
        <v>PRES-1062</v>
      </c>
      <c r="G77" s="40">
        <f>Registro_OT!L63</f>
        <v>351580</v>
      </c>
      <c r="H77" t="str">
        <f>Registro_OT!M63</f>
        <v>Aprobado</v>
      </c>
      <c r="I77" t="str">
        <f>Registro_OT!N63</f>
        <v>OC-5062</v>
      </c>
      <c r="J77" s="40">
        <f>Registro_OT!P63</f>
        <v>351580</v>
      </c>
      <c r="K77" t="str">
        <f>Registro_OT!Q63</f>
        <v>Recibida</v>
      </c>
      <c r="L77" t="str">
        <f>Registro_OT!R63</f>
        <v>FACT-3062</v>
      </c>
      <c r="M77" s="40">
        <f>Registro_OT!T63</f>
        <v>351580</v>
      </c>
      <c r="N77" s="41" t="str">
        <f>Registro_OT!W63</f>
        <v>CUADRADO (3-WAY OK)</v>
      </c>
      <c r="O77">
        <f>Registro_OT!AM63</f>
        <v>1</v>
      </c>
    </row>
    <row r="78" spans="2:15" x14ac:dyDescent="0.25">
      <c r="B78" t="str">
        <f>Registro_OT!A64</f>
        <v>OT-0063</v>
      </c>
      <c r="C78" t="str">
        <f>Registro_OT!B64</f>
        <v>CLI-018</v>
      </c>
      <c r="D78" t="str">
        <f>Registro_OT!C64</f>
        <v>WTWL-98</v>
      </c>
      <c r="E78" t="str">
        <f>Registro_OT!H64</f>
        <v>Cristian Araya</v>
      </c>
      <c r="F78" t="str">
        <f>Registro_OT!J64</f>
        <v>PRES-1063</v>
      </c>
      <c r="G78" s="40">
        <f>Registro_OT!L64</f>
        <v>288310</v>
      </c>
      <c r="H78" t="str">
        <f>Registro_OT!M64</f>
        <v>Aprobado</v>
      </c>
      <c r="I78" t="str">
        <f>Registro_OT!N64</f>
        <v>OC-5063</v>
      </c>
      <c r="J78" s="40">
        <f>Registro_OT!P64</f>
        <v>288310</v>
      </c>
      <c r="K78" t="str">
        <f>Registro_OT!Q64</f>
        <v>Recibida</v>
      </c>
      <c r="L78" t="str">
        <f>Registro_OT!R64</f>
        <v>FACT-3063</v>
      </c>
      <c r="M78" s="40">
        <f>Registro_OT!T64</f>
        <v>288310</v>
      </c>
      <c r="N78" s="41" t="str">
        <f>Registro_OT!W64</f>
        <v>CUADRADO (3-WAY OK)</v>
      </c>
      <c r="O78">
        <f>Registro_OT!AM64</f>
        <v>1</v>
      </c>
    </row>
    <row r="79" spans="2:15" x14ac:dyDescent="0.25">
      <c r="B79" t="str">
        <f>Registro_OT!A65</f>
        <v>OT-0064</v>
      </c>
      <c r="C79" t="str">
        <f>Registro_OT!B65</f>
        <v>CLI-011</v>
      </c>
      <c r="D79" t="str">
        <f>Registro_OT!C65</f>
        <v>DCZJ-61</v>
      </c>
      <c r="E79" t="str">
        <f>Registro_OT!H65</f>
        <v>Andrea Salinas</v>
      </c>
      <c r="F79" t="str">
        <f>Registro_OT!J65</f>
        <v>PRES-1064</v>
      </c>
      <c r="G79" s="40">
        <f>Registro_OT!L65</f>
        <v>488320</v>
      </c>
      <c r="H79" t="str">
        <f>Registro_OT!M65</f>
        <v>Aprobado</v>
      </c>
      <c r="I79" t="str">
        <f>Registro_OT!N65</f>
        <v>OC-5064</v>
      </c>
      <c r="J79" s="40">
        <f>Registro_OT!P65</f>
        <v>488320</v>
      </c>
      <c r="K79" t="str">
        <f>Registro_OT!Q65</f>
        <v>Recibida</v>
      </c>
      <c r="L79">
        <f>Registro_OT!R65</f>
        <v>0</v>
      </c>
      <c r="M79" s="40">
        <f>Registro_OT!T65</f>
        <v>0</v>
      </c>
      <c r="N79" s="41" t="str">
        <f>Registro_OT!W65</f>
        <v>OC Recibida - Pendiente Factura</v>
      </c>
      <c r="O79">
        <f>Registro_OT!AM65</f>
        <v>1</v>
      </c>
    </row>
    <row r="80" spans="2:15" x14ac:dyDescent="0.25">
      <c r="B80" t="str">
        <f>Registro_OT!A66</f>
        <v>OT-0065</v>
      </c>
      <c r="C80" t="str">
        <f>Registro_OT!B66</f>
        <v>CLI-013</v>
      </c>
      <c r="D80" t="str">
        <f>Registro_OT!C66</f>
        <v>HGLL-75</v>
      </c>
      <c r="E80" t="str">
        <f>Registro_OT!H66</f>
        <v>Marcelo Fuentes</v>
      </c>
      <c r="F80" t="str">
        <f>Registro_OT!J66</f>
        <v>PRES-1065</v>
      </c>
      <c r="G80" s="40">
        <f>Registro_OT!L66</f>
        <v>739940</v>
      </c>
      <c r="H80" t="str">
        <f>Registro_OT!M66</f>
        <v>Aprobado</v>
      </c>
      <c r="I80" t="str">
        <f>Registro_OT!N66</f>
        <v>OC-5065</v>
      </c>
      <c r="J80" s="40">
        <f>Registro_OT!P66</f>
        <v>739940</v>
      </c>
      <c r="K80" t="str">
        <f>Registro_OT!Q66</f>
        <v>Recibida</v>
      </c>
      <c r="L80" t="str">
        <f>Registro_OT!R66</f>
        <v>FACT-3065</v>
      </c>
      <c r="M80" s="40">
        <f>Registro_OT!T66</f>
        <v>739940</v>
      </c>
      <c r="N80" s="41" t="str">
        <f>Registro_OT!W66</f>
        <v>CUADRADO (3-WAY OK)</v>
      </c>
      <c r="O80">
        <f>Registro_OT!AM66</f>
        <v>1</v>
      </c>
    </row>
    <row r="81" spans="2:15" x14ac:dyDescent="0.25">
      <c r="B81" t="str">
        <f>Registro_OT!A67</f>
        <v>OT-0066</v>
      </c>
      <c r="C81" t="str">
        <f>Registro_OT!B67</f>
        <v>CLI-011</v>
      </c>
      <c r="D81" t="str">
        <f>Registro_OT!C67</f>
        <v>GLCZ-73</v>
      </c>
      <c r="E81" t="str">
        <f>Registro_OT!H67</f>
        <v>Cristian Araya</v>
      </c>
      <c r="F81" t="str">
        <f>Registro_OT!J67</f>
        <v>PRES-1066</v>
      </c>
      <c r="G81" s="40">
        <f>Registro_OT!L67</f>
        <v>507840</v>
      </c>
      <c r="H81" t="str">
        <f>Registro_OT!M67</f>
        <v>Aprobado</v>
      </c>
      <c r="I81" t="str">
        <f>Registro_OT!N67</f>
        <v>OC-5066</v>
      </c>
      <c r="J81" s="40">
        <f>Registro_OT!P67</f>
        <v>507840</v>
      </c>
      <c r="K81" t="str">
        <f>Registro_OT!Q67</f>
        <v>Recibida</v>
      </c>
      <c r="L81" t="str">
        <f>Registro_OT!R67</f>
        <v>FACT-3066</v>
      </c>
      <c r="M81" s="40">
        <f>Registro_OT!T67</f>
        <v>507840</v>
      </c>
      <c r="N81" s="41" t="str">
        <f>Registro_OT!W67</f>
        <v>CUADRADO (3-WAY OK)</v>
      </c>
      <c r="O81">
        <f>Registro_OT!AM67</f>
        <v>1</v>
      </c>
    </row>
    <row r="82" spans="2:15" x14ac:dyDescent="0.25">
      <c r="B82" t="str">
        <f>Registro_OT!A68</f>
        <v>OT-0067</v>
      </c>
      <c r="C82" t="str">
        <f>Registro_OT!B68</f>
        <v>CLI-007</v>
      </c>
      <c r="D82" t="str">
        <f>Registro_OT!C68</f>
        <v>FKPB-74</v>
      </c>
      <c r="E82" t="str">
        <f>Registro_OT!H68</f>
        <v>Luis Contreras</v>
      </c>
      <c r="F82" t="str">
        <f>Registro_OT!J68</f>
        <v>PRES-1067</v>
      </c>
      <c r="G82" s="40">
        <f>Registro_OT!L68</f>
        <v>964640</v>
      </c>
      <c r="H82" t="str">
        <f>Registro_OT!M68</f>
        <v>Aprobado</v>
      </c>
      <c r="I82" t="str">
        <f>Registro_OT!N68</f>
        <v>OC-5067</v>
      </c>
      <c r="J82" s="40">
        <f>Registro_OT!P68</f>
        <v>964640</v>
      </c>
      <c r="K82" t="str">
        <f>Registro_OT!Q68</f>
        <v>Recibida</v>
      </c>
      <c r="L82" t="str">
        <f>Registro_OT!R68</f>
        <v>FACT-3067</v>
      </c>
      <c r="M82" s="40">
        <f>Registro_OT!T68</f>
        <v>964640</v>
      </c>
      <c r="N82" s="41" t="str">
        <f>Registro_OT!W68</f>
        <v>CUADRADO (3-WAY OK)</v>
      </c>
      <c r="O82">
        <f>Registro_OT!AM68</f>
        <v>1</v>
      </c>
    </row>
    <row r="83" spans="2:15" x14ac:dyDescent="0.25">
      <c r="B83" t="str">
        <f>Registro_OT!A69</f>
        <v>OT-0068</v>
      </c>
      <c r="C83" t="str">
        <f>Registro_OT!B69</f>
        <v>CLI-006</v>
      </c>
      <c r="D83" t="str">
        <f>Registro_OT!C69</f>
        <v>KZKL-63</v>
      </c>
      <c r="E83" t="str">
        <f>Registro_OT!H69</f>
        <v>Luis Contreras</v>
      </c>
      <c r="F83" t="str">
        <f>Registro_OT!J69</f>
        <v>PRES-1068</v>
      </c>
      <c r="G83" s="40">
        <f>Registro_OT!L69</f>
        <v>813000</v>
      </c>
      <c r="H83" t="str">
        <f>Registro_OT!M69</f>
        <v>Aprobado</v>
      </c>
      <c r="I83" t="str">
        <f>Registro_OT!N69</f>
        <v>OC-5068</v>
      </c>
      <c r="J83" s="40">
        <f>Registro_OT!P69</f>
        <v>813000</v>
      </c>
      <c r="K83" t="str">
        <f>Registro_OT!Q69</f>
        <v>Recibida</v>
      </c>
      <c r="L83" t="str">
        <f>Registro_OT!R69</f>
        <v>FACT-3068</v>
      </c>
      <c r="M83" s="40">
        <f>Registro_OT!T69</f>
        <v>813000</v>
      </c>
      <c r="N83" s="41" t="str">
        <f>Registro_OT!W69</f>
        <v>CUADRADO (3-WAY OK)</v>
      </c>
      <c r="O83">
        <f>Registro_OT!AM69</f>
        <v>1</v>
      </c>
    </row>
    <row r="84" spans="2:15" x14ac:dyDescent="0.25">
      <c r="B84" t="str">
        <f>Registro_OT!A70</f>
        <v>OT-0069</v>
      </c>
      <c r="C84" t="str">
        <f>Registro_OT!B70</f>
        <v>CLI-001</v>
      </c>
      <c r="D84" t="str">
        <f>Registro_OT!C70</f>
        <v>BLZP-92</v>
      </c>
      <c r="E84" t="str">
        <f>Registro_OT!H70</f>
        <v>Cristian Araya</v>
      </c>
      <c r="F84" t="str">
        <f>Registro_OT!J70</f>
        <v>PRES-1069</v>
      </c>
      <c r="G84" s="40">
        <f>Registro_OT!L70</f>
        <v>681800</v>
      </c>
      <c r="H84" t="str">
        <f>Registro_OT!M70</f>
        <v>Aprobado</v>
      </c>
      <c r="I84" t="str">
        <f>Registro_OT!N70</f>
        <v>OC-5069</v>
      </c>
      <c r="J84" s="40">
        <f>Registro_OT!P70</f>
        <v>681800</v>
      </c>
      <c r="K84" t="str">
        <f>Registro_OT!Q70</f>
        <v>Recibida</v>
      </c>
      <c r="L84" t="str">
        <f>Registro_OT!R70</f>
        <v>FACT-3069</v>
      </c>
      <c r="M84" s="40">
        <f>Registro_OT!T70</f>
        <v>681800</v>
      </c>
      <c r="N84" s="41" t="str">
        <f>Registro_OT!W70</f>
        <v>CUADRADO (3-WAY OK)</v>
      </c>
      <c r="O84">
        <f>Registro_OT!AM70</f>
        <v>1</v>
      </c>
    </row>
    <row r="85" spans="2:15" x14ac:dyDescent="0.25">
      <c r="B85" t="str">
        <f>Registro_OT!A71</f>
        <v>OT-0070</v>
      </c>
      <c r="C85" t="str">
        <f>Registro_OT!B71</f>
        <v>CLI-010</v>
      </c>
      <c r="D85" t="str">
        <f>Registro_OT!C71</f>
        <v>LPYZ-21</v>
      </c>
      <c r="E85" t="str">
        <f>Registro_OT!H71</f>
        <v>Luis Contreras</v>
      </c>
      <c r="F85" t="str">
        <f>Registro_OT!J71</f>
        <v>PRES-1070</v>
      </c>
      <c r="G85" s="40">
        <f>Registro_OT!L71</f>
        <v>944370</v>
      </c>
      <c r="H85" t="str">
        <f>Registro_OT!M71</f>
        <v>Aprobado</v>
      </c>
      <c r="I85" t="str">
        <f>Registro_OT!N71</f>
        <v>OC-5070</v>
      </c>
      <c r="J85" s="40">
        <f>Registro_OT!P71</f>
        <v>944370</v>
      </c>
      <c r="K85" t="str">
        <f>Registro_OT!Q71</f>
        <v>Recibida</v>
      </c>
      <c r="L85" t="str">
        <f>Registro_OT!R71</f>
        <v>FACT-3070</v>
      </c>
      <c r="M85" s="40">
        <f>Registro_OT!T71</f>
        <v>944370</v>
      </c>
      <c r="N85" s="41" t="str">
        <f>Registro_OT!W71</f>
        <v>CUADRADO (3-WAY OK)</v>
      </c>
      <c r="O85">
        <f>Registro_OT!AM71</f>
        <v>1</v>
      </c>
    </row>
    <row r="86" spans="2:15" x14ac:dyDescent="0.25">
      <c r="B86" t="str">
        <f>Registro_OT!A72</f>
        <v>OT-0071</v>
      </c>
      <c r="C86" t="str">
        <f>Registro_OT!B72</f>
        <v>CLI-015</v>
      </c>
      <c r="D86" t="str">
        <f>Registro_OT!C72</f>
        <v>KBFF-21</v>
      </c>
      <c r="E86" t="str">
        <f>Registro_OT!H72</f>
        <v>Patricio Rojas</v>
      </c>
      <c r="F86" t="str">
        <f>Registro_OT!J72</f>
        <v>PRES-1071</v>
      </c>
      <c r="G86" s="40">
        <f>Registro_OT!L72</f>
        <v>627360</v>
      </c>
      <c r="H86" t="str">
        <f>Registro_OT!M72</f>
        <v>Aprobado</v>
      </c>
      <c r="I86" t="str">
        <f>Registro_OT!N72</f>
        <v>OC-5071</v>
      </c>
      <c r="J86" s="40">
        <f>Registro_OT!P72</f>
        <v>627360</v>
      </c>
      <c r="K86" t="str">
        <f>Registro_OT!Q72</f>
        <v>Recibida</v>
      </c>
      <c r="L86" t="str">
        <f>Registro_OT!R72</f>
        <v>FACT-3071</v>
      </c>
      <c r="M86" s="40">
        <f>Registro_OT!T72</f>
        <v>627360</v>
      </c>
      <c r="N86" s="41" t="str">
        <f>Registro_OT!W72</f>
        <v>CUADRADO (3-WAY OK)</v>
      </c>
      <c r="O86">
        <f>Registro_OT!AM72</f>
        <v>1</v>
      </c>
    </row>
    <row r="87" spans="2:15" x14ac:dyDescent="0.25">
      <c r="B87" t="str">
        <f>Registro_OT!A73</f>
        <v>OT-0072</v>
      </c>
      <c r="C87" t="str">
        <f>Registro_OT!B73</f>
        <v>CLI-015</v>
      </c>
      <c r="D87" t="str">
        <f>Registro_OT!C73</f>
        <v>YJHP-79</v>
      </c>
      <c r="E87" t="str">
        <f>Registro_OT!H73</f>
        <v>Cristian Araya</v>
      </c>
      <c r="F87" t="str">
        <f>Registro_OT!J73</f>
        <v>PRES-1072</v>
      </c>
      <c r="G87" s="40">
        <f>Registro_OT!L73</f>
        <v>210820</v>
      </c>
      <c r="H87" t="str">
        <f>Registro_OT!M73</f>
        <v>Aprobado</v>
      </c>
      <c r="I87" t="str">
        <f>Registro_OT!N73</f>
        <v>OC-5072</v>
      </c>
      <c r="J87" s="40">
        <f>Registro_OT!P73</f>
        <v>210820</v>
      </c>
      <c r="K87" t="str">
        <f>Registro_OT!Q73</f>
        <v>Recibida</v>
      </c>
      <c r="L87" t="str">
        <f>Registro_OT!R73</f>
        <v>FACT-3072</v>
      </c>
      <c r="M87" s="40">
        <f>Registro_OT!T73</f>
        <v>210820</v>
      </c>
      <c r="N87" s="41" t="str">
        <f>Registro_OT!W73</f>
        <v>CUADRADO (3-WAY OK)</v>
      </c>
      <c r="O87">
        <f>Registro_OT!AM73</f>
        <v>1</v>
      </c>
    </row>
    <row r="88" spans="2:15" x14ac:dyDescent="0.25">
      <c r="B88" t="str">
        <f>Registro_OT!A74</f>
        <v>OT-0073</v>
      </c>
      <c r="C88" t="str">
        <f>Registro_OT!B74</f>
        <v>CLI-004</v>
      </c>
      <c r="D88" t="str">
        <f>Registro_OT!C74</f>
        <v>GVXF-60</v>
      </c>
      <c r="E88" t="str">
        <f>Registro_OT!H74</f>
        <v>Daniela Mora</v>
      </c>
      <c r="F88" t="str">
        <f>Registro_OT!J74</f>
        <v>PRES-1073</v>
      </c>
      <c r="G88" s="40">
        <f>Registro_OT!L74</f>
        <v>2182560</v>
      </c>
      <c r="H88" t="str">
        <f>Registro_OT!M74</f>
        <v>Aprobado</v>
      </c>
      <c r="I88" t="str">
        <f>Registro_OT!N74</f>
        <v>OC-5073</v>
      </c>
      <c r="J88" s="40">
        <f>Registro_OT!P74</f>
        <v>2182560</v>
      </c>
      <c r="K88" t="str">
        <f>Registro_OT!Q74</f>
        <v>Recibida</v>
      </c>
      <c r="L88" t="str">
        <f>Registro_OT!R74</f>
        <v>FACT-3073</v>
      </c>
      <c r="M88" s="40">
        <f>Registro_OT!T74</f>
        <v>2182560</v>
      </c>
      <c r="N88" s="41" t="str">
        <f>Registro_OT!W74</f>
        <v>CUADRADO (3-WAY OK)</v>
      </c>
      <c r="O88">
        <f>Registro_OT!AM74</f>
        <v>1</v>
      </c>
    </row>
    <row r="89" spans="2:15" x14ac:dyDescent="0.25">
      <c r="B89" t="str">
        <f>Registro_OT!A75</f>
        <v>OT-0074</v>
      </c>
      <c r="C89" t="str">
        <f>Registro_OT!B75</f>
        <v>CLI-018</v>
      </c>
      <c r="D89" t="str">
        <f>Registro_OT!C75</f>
        <v>CGZJ-32</v>
      </c>
      <c r="E89" t="str">
        <f>Registro_OT!H75</f>
        <v>Marcelo Fuentes</v>
      </c>
      <c r="F89" t="str">
        <f>Registro_OT!J75</f>
        <v>PRES-1074</v>
      </c>
      <c r="G89" s="40">
        <f>Registro_OT!L75</f>
        <v>103870</v>
      </c>
      <c r="H89" t="str">
        <f>Registro_OT!M75</f>
        <v>Aprobado</v>
      </c>
      <c r="I89" t="str">
        <f>Registro_OT!N75</f>
        <v>OC-5074</v>
      </c>
      <c r="J89" s="40">
        <f>Registro_OT!P75</f>
        <v>103870</v>
      </c>
      <c r="K89" t="str">
        <f>Registro_OT!Q75</f>
        <v>Recibida</v>
      </c>
      <c r="L89" t="str">
        <f>Registro_OT!R75</f>
        <v>FACT-3074</v>
      </c>
      <c r="M89" s="40">
        <f>Registro_OT!T75</f>
        <v>103870</v>
      </c>
      <c r="N89" s="41" t="str">
        <f>Registro_OT!W75</f>
        <v>CUADRADO (3-WAY OK)</v>
      </c>
      <c r="O89">
        <f>Registro_OT!AM75</f>
        <v>1</v>
      </c>
    </row>
    <row r="90" spans="2:15" x14ac:dyDescent="0.25">
      <c r="B90" t="str">
        <f>Registro_OT!A76</f>
        <v>OT-0075</v>
      </c>
      <c r="C90" t="str">
        <f>Registro_OT!B76</f>
        <v>CLI-010</v>
      </c>
      <c r="D90" t="str">
        <f>Registro_OT!C76</f>
        <v>HZXG-39</v>
      </c>
      <c r="E90" t="str">
        <f>Registro_OT!H76</f>
        <v>Luis Contreras</v>
      </c>
      <c r="F90" t="str">
        <f>Registro_OT!J76</f>
        <v>PRES-1075</v>
      </c>
      <c r="G90" s="40">
        <f>Registro_OT!L76</f>
        <v>316070</v>
      </c>
      <c r="H90" t="str">
        <f>Registro_OT!M76</f>
        <v>Aprobado</v>
      </c>
      <c r="I90" t="str">
        <f>Registro_OT!N76</f>
        <v>OC-5075</v>
      </c>
      <c r="J90" s="40">
        <f>Registro_OT!P76</f>
        <v>316070</v>
      </c>
      <c r="K90" t="str">
        <f>Registro_OT!Q76</f>
        <v>Recibida</v>
      </c>
      <c r="L90" t="str">
        <f>Registro_OT!R76</f>
        <v>FACT-3075</v>
      </c>
      <c r="M90" s="40">
        <f>Registro_OT!T76</f>
        <v>316070</v>
      </c>
      <c r="N90" s="41" t="str">
        <f>Registro_OT!W76</f>
        <v>CUADRADO (3-WAY OK)</v>
      </c>
      <c r="O90">
        <f>Registro_OT!AM76</f>
        <v>1</v>
      </c>
    </row>
    <row r="91" spans="2:15" x14ac:dyDescent="0.25">
      <c r="B91" t="str">
        <f>Registro_OT!A77</f>
        <v>OT-0076</v>
      </c>
      <c r="C91" t="str">
        <f>Registro_OT!B77</f>
        <v>CLI-011</v>
      </c>
      <c r="D91" t="str">
        <f>Registro_OT!C77</f>
        <v>YLCK-24</v>
      </c>
      <c r="E91" t="str">
        <f>Registro_OT!H77</f>
        <v>Marcelo Fuentes</v>
      </c>
      <c r="F91" t="str">
        <f>Registro_OT!J77</f>
        <v>PRES-1076</v>
      </c>
      <c r="G91" s="40">
        <f>Registro_OT!L77</f>
        <v>196480</v>
      </c>
      <c r="H91" t="str">
        <f>Registro_OT!M77</f>
        <v>Aprobado</v>
      </c>
      <c r="I91" t="str">
        <f>Registro_OT!N77</f>
        <v>OC-5076</v>
      </c>
      <c r="J91" s="40">
        <f>Registro_OT!P77</f>
        <v>196480</v>
      </c>
      <c r="K91" t="str">
        <f>Registro_OT!Q77</f>
        <v>Recibida</v>
      </c>
      <c r="L91" t="str">
        <f>Registro_OT!R77</f>
        <v>FACT-3076</v>
      </c>
      <c r="M91" s="40">
        <f>Registro_OT!T77</f>
        <v>196480</v>
      </c>
      <c r="N91" s="41" t="str">
        <f>Registro_OT!W77</f>
        <v>CUADRADO (3-WAY OK)</v>
      </c>
      <c r="O91">
        <f>Registro_OT!AM77</f>
        <v>1</v>
      </c>
    </row>
    <row r="92" spans="2:15" x14ac:dyDescent="0.25">
      <c r="B92" t="str">
        <f>Registro_OT!A78</f>
        <v>OT-0077</v>
      </c>
      <c r="C92" t="str">
        <f>Registro_OT!B78</f>
        <v>CLI-010</v>
      </c>
      <c r="D92" t="str">
        <f>Registro_OT!C78</f>
        <v>FZHS-90</v>
      </c>
      <c r="E92" t="str">
        <f>Registro_OT!H78</f>
        <v>Sergio Valdés</v>
      </c>
      <c r="F92" t="str">
        <f>Registro_OT!J78</f>
        <v>PRES-1077</v>
      </c>
      <c r="G92" s="40">
        <f>Registro_OT!L78</f>
        <v>521760</v>
      </c>
      <c r="H92" t="str">
        <f>Registro_OT!M78</f>
        <v>Aprobado</v>
      </c>
      <c r="I92" t="str">
        <f>Registro_OT!N78</f>
        <v>OC-5077</v>
      </c>
      <c r="J92" s="40">
        <f>Registro_OT!P78</f>
        <v>521760</v>
      </c>
      <c r="K92" t="str">
        <f>Registro_OT!Q78</f>
        <v>Recibida</v>
      </c>
      <c r="L92" t="str">
        <f>Registro_OT!R78</f>
        <v>FACT-3077</v>
      </c>
      <c r="M92" s="40">
        <f>Registro_OT!T78</f>
        <v>521760</v>
      </c>
      <c r="N92" s="41" t="str">
        <f>Registro_OT!W78</f>
        <v>CUADRADO (3-WAY OK)</v>
      </c>
      <c r="O92">
        <f>Registro_OT!AM78</f>
        <v>1</v>
      </c>
    </row>
    <row r="93" spans="2:15" x14ac:dyDescent="0.25">
      <c r="B93" t="str">
        <f>Registro_OT!A79</f>
        <v>OT-0078</v>
      </c>
      <c r="C93" t="str">
        <f>Registro_OT!B79</f>
        <v>CLI-013</v>
      </c>
      <c r="D93" t="str">
        <f>Registro_OT!C79</f>
        <v>PDYH-68</v>
      </c>
      <c r="E93" t="str">
        <f>Registro_OT!H79</f>
        <v>Marcelo Fuentes</v>
      </c>
      <c r="F93" t="str">
        <f>Registro_OT!J79</f>
        <v>PRES-1078</v>
      </c>
      <c r="G93" s="40">
        <f>Registro_OT!L79</f>
        <v>682210</v>
      </c>
      <c r="H93" t="str">
        <f>Registro_OT!M79</f>
        <v>Aprobado</v>
      </c>
      <c r="I93" t="str">
        <f>Registro_OT!N79</f>
        <v>OC-5078</v>
      </c>
      <c r="J93" s="40">
        <f>Registro_OT!P79</f>
        <v>682210</v>
      </c>
      <c r="K93" t="str">
        <f>Registro_OT!Q79</f>
        <v>Recibida</v>
      </c>
      <c r="L93" t="str">
        <f>Registro_OT!R79</f>
        <v>FACT-3078</v>
      </c>
      <c r="M93" s="40">
        <f>Registro_OT!T79</f>
        <v>682210</v>
      </c>
      <c r="N93" s="41" t="str">
        <f>Registro_OT!W79</f>
        <v>CUADRADO (3-WAY OK)</v>
      </c>
      <c r="O93">
        <f>Registro_OT!AM79</f>
        <v>1</v>
      </c>
    </row>
    <row r="94" spans="2:15" x14ac:dyDescent="0.25">
      <c r="B94" t="str">
        <f>Registro_OT!A80</f>
        <v>OT-0079</v>
      </c>
      <c r="C94" t="str">
        <f>Registro_OT!B80</f>
        <v>CLI-015</v>
      </c>
      <c r="D94" t="str">
        <f>Registro_OT!C80</f>
        <v>FHHR-83</v>
      </c>
      <c r="E94" t="str">
        <f>Registro_OT!H80</f>
        <v>Andrea Salinas</v>
      </c>
      <c r="F94" t="str">
        <f>Registro_OT!J80</f>
        <v>PRES-1079</v>
      </c>
      <c r="G94" s="40">
        <f>Registro_OT!L80</f>
        <v>254880</v>
      </c>
      <c r="H94" t="str">
        <f>Registro_OT!M80</f>
        <v>Aprobado</v>
      </c>
      <c r="I94" t="str">
        <f>Registro_OT!N80</f>
        <v>OC-5079</v>
      </c>
      <c r="J94" s="40">
        <f>Registro_OT!P80</f>
        <v>254880</v>
      </c>
      <c r="K94" t="str">
        <f>Registro_OT!Q80</f>
        <v>Recibida</v>
      </c>
      <c r="L94" t="str">
        <f>Registro_OT!R80</f>
        <v>FACT-3079</v>
      </c>
      <c r="M94" s="40">
        <f>Registro_OT!T80</f>
        <v>254880</v>
      </c>
      <c r="N94" s="41" t="str">
        <f>Registro_OT!W80</f>
        <v>CUADRADO (3-WAY OK)</v>
      </c>
      <c r="O94">
        <f>Registro_OT!AM80</f>
        <v>1</v>
      </c>
    </row>
    <row r="95" spans="2:15" x14ac:dyDescent="0.25">
      <c r="B95" t="str">
        <f>Registro_OT!A81</f>
        <v>OT-0080</v>
      </c>
      <c r="C95" t="str">
        <f>Registro_OT!B81</f>
        <v>CLI-013</v>
      </c>
      <c r="D95" t="str">
        <f>Registro_OT!C81</f>
        <v>SYWS-99</v>
      </c>
      <c r="E95" t="str">
        <f>Registro_OT!H81</f>
        <v>Marcelo Fuentes</v>
      </c>
      <c r="F95" t="str">
        <f>Registro_OT!J81</f>
        <v>PRES-1080</v>
      </c>
      <c r="G95" s="40">
        <f>Registro_OT!L81</f>
        <v>811100</v>
      </c>
      <c r="H95" t="str">
        <f>Registro_OT!M81</f>
        <v>Aprobado</v>
      </c>
      <c r="I95" t="str">
        <f>Registro_OT!N81</f>
        <v>OC-5080</v>
      </c>
      <c r="J95" s="40">
        <f>Registro_OT!P81</f>
        <v>811100</v>
      </c>
      <c r="K95" t="str">
        <f>Registro_OT!Q81</f>
        <v>Recibida</v>
      </c>
      <c r="L95" t="str">
        <f>Registro_OT!R81</f>
        <v>FACT-3080</v>
      </c>
      <c r="M95" s="40">
        <f>Registro_OT!T81</f>
        <v>811100</v>
      </c>
      <c r="N95" s="41" t="str">
        <f>Registro_OT!W81</f>
        <v>CUADRADO (3-WAY OK)</v>
      </c>
      <c r="O95">
        <f>Registro_OT!AM81</f>
        <v>1</v>
      </c>
    </row>
    <row r="96" spans="2:15" x14ac:dyDescent="0.25">
      <c r="B96" t="str">
        <f>Registro_OT!A82</f>
        <v>OT-0081</v>
      </c>
      <c r="C96" t="str">
        <f>Registro_OT!B82</f>
        <v>CLI-009</v>
      </c>
      <c r="D96" t="str">
        <f>Registro_OT!C82</f>
        <v>GBDV-75</v>
      </c>
      <c r="E96" t="str">
        <f>Registro_OT!H82</f>
        <v>Andrea Salinas</v>
      </c>
      <c r="F96" t="str">
        <f>Registro_OT!J82</f>
        <v>PRES-1081</v>
      </c>
      <c r="G96" s="40">
        <f>Registro_OT!L82</f>
        <v>338320</v>
      </c>
      <c r="H96" t="str">
        <f>Registro_OT!M82</f>
        <v>Aprobado</v>
      </c>
      <c r="I96" t="str">
        <f>Registro_OT!N82</f>
        <v>OC-5081</v>
      </c>
      <c r="J96" s="40">
        <f>Registro_OT!P82</f>
        <v>338320</v>
      </c>
      <c r="K96" t="str">
        <f>Registro_OT!Q82</f>
        <v>Recibida</v>
      </c>
      <c r="L96" t="str">
        <f>Registro_OT!R82</f>
        <v>FACT-3081</v>
      </c>
      <c r="M96" s="40">
        <f>Registro_OT!T82</f>
        <v>338320</v>
      </c>
      <c r="N96" s="41" t="str">
        <f>Registro_OT!W82</f>
        <v>CUADRADO (3-WAY OK)</v>
      </c>
      <c r="O96">
        <f>Registro_OT!AM82</f>
        <v>1</v>
      </c>
    </row>
    <row r="97" spans="2:15" x14ac:dyDescent="0.25">
      <c r="B97" t="str">
        <f>Registro_OT!A83</f>
        <v>OT-0082</v>
      </c>
      <c r="C97" t="str">
        <f>Registro_OT!B83</f>
        <v>CLI-011</v>
      </c>
      <c r="D97" t="str">
        <f>Registro_OT!C83</f>
        <v>VSLC-16</v>
      </c>
      <c r="E97" t="str">
        <f>Registro_OT!H83</f>
        <v>Luis Contreras</v>
      </c>
      <c r="F97" t="str">
        <f>Registro_OT!J83</f>
        <v>PRES-1082</v>
      </c>
      <c r="G97" s="40">
        <f>Registro_OT!L83</f>
        <v>175170</v>
      </c>
      <c r="H97" t="str">
        <f>Registro_OT!M83</f>
        <v>Aprobado</v>
      </c>
      <c r="I97" t="str">
        <f>Registro_OT!N83</f>
        <v>OC-5082</v>
      </c>
      <c r="J97" s="40">
        <f>Registro_OT!P83</f>
        <v>175170</v>
      </c>
      <c r="K97" t="str">
        <f>Registro_OT!Q83</f>
        <v>Recibida</v>
      </c>
      <c r="L97" t="str">
        <f>Registro_OT!R83</f>
        <v>FACT-3082</v>
      </c>
      <c r="M97" s="40">
        <f>Registro_OT!T83</f>
        <v>175170</v>
      </c>
      <c r="N97" s="41" t="str">
        <f>Registro_OT!W83</f>
        <v>CUADRADO (3-WAY OK)</v>
      </c>
      <c r="O97">
        <f>Registro_OT!AM83</f>
        <v>1</v>
      </c>
    </row>
    <row r="98" spans="2:15" x14ac:dyDescent="0.25">
      <c r="B98" t="str">
        <f>Registro_OT!A84</f>
        <v>OT-0083</v>
      </c>
      <c r="C98" t="str">
        <f>Registro_OT!B84</f>
        <v>CLI-005</v>
      </c>
      <c r="D98" t="str">
        <f>Registro_OT!C84</f>
        <v>FZPW-37</v>
      </c>
      <c r="E98" t="str">
        <f>Registro_OT!H84</f>
        <v>Marcelo Fuentes</v>
      </c>
      <c r="F98" t="str">
        <f>Registro_OT!J84</f>
        <v>PRES-1083</v>
      </c>
      <c r="G98" s="40">
        <f>Registro_OT!L84</f>
        <v>585320</v>
      </c>
      <c r="H98" t="str">
        <f>Registro_OT!M84</f>
        <v>Aprobado</v>
      </c>
      <c r="I98" t="str">
        <f>Registro_OT!N84</f>
        <v>OC-5083</v>
      </c>
      <c r="J98" s="40">
        <f>Registro_OT!P84</f>
        <v>585320</v>
      </c>
      <c r="K98" t="str">
        <f>Registro_OT!Q84</f>
        <v>Recibida</v>
      </c>
      <c r="L98" t="str">
        <f>Registro_OT!R84</f>
        <v>FACT-3083</v>
      </c>
      <c r="M98" s="40">
        <f>Registro_OT!T84</f>
        <v>585320</v>
      </c>
      <c r="N98" s="41" t="str">
        <f>Registro_OT!W84</f>
        <v>CUADRADO (3-WAY OK)</v>
      </c>
      <c r="O98">
        <f>Registro_OT!AM84</f>
        <v>1</v>
      </c>
    </row>
    <row r="99" spans="2:15" x14ac:dyDescent="0.25">
      <c r="B99" t="str">
        <f>Registro_OT!A85</f>
        <v>OT-0084</v>
      </c>
      <c r="C99" t="str">
        <f>Registro_OT!B85</f>
        <v>CLI-005</v>
      </c>
      <c r="D99" t="str">
        <f>Registro_OT!C85</f>
        <v>VHFH-75</v>
      </c>
      <c r="E99" t="str">
        <f>Registro_OT!H85</f>
        <v>Daniela Mora</v>
      </c>
      <c r="F99" t="str">
        <f>Registro_OT!J85</f>
        <v>PRES-1084</v>
      </c>
      <c r="G99" s="40">
        <f>Registro_OT!L85</f>
        <v>1037070</v>
      </c>
      <c r="H99" t="str">
        <f>Registro_OT!M85</f>
        <v>Aprobado</v>
      </c>
      <c r="I99" t="str">
        <f>Registro_OT!N85</f>
        <v>OC-5084</v>
      </c>
      <c r="J99" s="40">
        <f>Registro_OT!P85</f>
        <v>1037070</v>
      </c>
      <c r="K99" t="str">
        <f>Registro_OT!Q85</f>
        <v>Recibida</v>
      </c>
      <c r="L99" t="str">
        <f>Registro_OT!R85</f>
        <v>FACT-3084</v>
      </c>
      <c r="M99" s="40">
        <f>Registro_OT!T85</f>
        <v>1037070</v>
      </c>
      <c r="N99" s="41" t="str">
        <f>Registro_OT!W85</f>
        <v>CUADRADO (3-WAY OK)</v>
      </c>
      <c r="O99">
        <f>Registro_OT!AM85</f>
        <v>1</v>
      </c>
    </row>
    <row r="100" spans="2:15" x14ac:dyDescent="0.25">
      <c r="B100" t="str">
        <f>Registro_OT!A86</f>
        <v>OT-0085</v>
      </c>
      <c r="C100" t="str">
        <f>Registro_OT!B86</f>
        <v>CLI-011</v>
      </c>
      <c r="D100" t="str">
        <f>Registro_OT!C86</f>
        <v>TJZV-63</v>
      </c>
      <c r="E100" t="str">
        <f>Registro_OT!H86</f>
        <v>Cristian Araya</v>
      </c>
      <c r="F100" t="str">
        <f>Registro_OT!J86</f>
        <v>PRES-1085</v>
      </c>
      <c r="G100" s="40">
        <f>Registro_OT!L86</f>
        <v>236700</v>
      </c>
      <c r="H100" t="str">
        <f>Registro_OT!M86</f>
        <v>Aprobado</v>
      </c>
      <c r="I100" t="str">
        <f>Registro_OT!N86</f>
        <v>OC-5085</v>
      </c>
      <c r="J100" s="40">
        <f>Registro_OT!P86</f>
        <v>236700</v>
      </c>
      <c r="K100" t="str">
        <f>Registro_OT!Q86</f>
        <v>Recibida</v>
      </c>
      <c r="L100" t="str">
        <f>Registro_OT!R86</f>
        <v>FACT-3085</v>
      </c>
      <c r="M100" s="40">
        <f>Registro_OT!T86</f>
        <v>236700</v>
      </c>
      <c r="N100" s="41" t="str">
        <f>Registro_OT!W86</f>
        <v>CUADRADO (3-WAY OK)</v>
      </c>
      <c r="O100">
        <f>Registro_OT!AM86</f>
        <v>1</v>
      </c>
    </row>
    <row r="101" spans="2:15" x14ac:dyDescent="0.25">
      <c r="B101" t="str">
        <f>Registro_OT!A87</f>
        <v>OT-0086</v>
      </c>
      <c r="C101" t="str">
        <f>Registro_OT!B87</f>
        <v>CLI-015</v>
      </c>
      <c r="D101" t="str">
        <f>Registro_OT!C87</f>
        <v>YVFG-49</v>
      </c>
      <c r="E101" t="str">
        <f>Registro_OT!H87</f>
        <v>Cristian Araya</v>
      </c>
      <c r="F101" t="str">
        <f>Registro_OT!J87</f>
        <v>PRES-1086</v>
      </c>
      <c r="G101" s="40">
        <f>Registro_OT!L87</f>
        <v>436310</v>
      </c>
      <c r="H101" t="str">
        <f>Registro_OT!M87</f>
        <v>Aprobado</v>
      </c>
      <c r="I101" t="str">
        <f>Registro_OT!N87</f>
        <v>OC-5086</v>
      </c>
      <c r="J101" s="40">
        <f>Registro_OT!P87</f>
        <v>436310</v>
      </c>
      <c r="K101" t="str">
        <f>Registro_OT!Q87</f>
        <v>Recibida</v>
      </c>
      <c r="L101" t="str">
        <f>Registro_OT!R87</f>
        <v>FACT-3086</v>
      </c>
      <c r="M101" s="40">
        <f>Registro_OT!T87</f>
        <v>436310</v>
      </c>
      <c r="N101" s="41" t="str">
        <f>Registro_OT!W87</f>
        <v>CUADRADO (3-WAY OK)</v>
      </c>
      <c r="O101">
        <f>Registro_OT!AM87</f>
        <v>1</v>
      </c>
    </row>
    <row r="102" spans="2:15" x14ac:dyDescent="0.25">
      <c r="B102" t="str">
        <f>Registro_OT!A88</f>
        <v>OT-0087</v>
      </c>
      <c r="C102" t="str">
        <f>Registro_OT!B88</f>
        <v>CLI-004</v>
      </c>
      <c r="D102" t="str">
        <f>Registro_OT!C88</f>
        <v>BHDW-82</v>
      </c>
      <c r="E102" t="str">
        <f>Registro_OT!H88</f>
        <v>Marcelo Fuentes</v>
      </c>
      <c r="F102" t="str">
        <f>Registro_OT!J88</f>
        <v>PRES-1087</v>
      </c>
      <c r="G102" s="40">
        <f>Registro_OT!L88</f>
        <v>549400</v>
      </c>
      <c r="H102" t="str">
        <f>Registro_OT!M88</f>
        <v>Aprobado</v>
      </c>
      <c r="I102" t="str">
        <f>Registro_OT!N88</f>
        <v>OC-5087</v>
      </c>
      <c r="J102" s="40">
        <f>Registro_OT!P88</f>
        <v>549400</v>
      </c>
      <c r="K102" t="str">
        <f>Registro_OT!Q88</f>
        <v>Recibida</v>
      </c>
      <c r="L102">
        <f>Registro_OT!R88</f>
        <v>0</v>
      </c>
      <c r="M102" s="40">
        <f>Registro_OT!T88</f>
        <v>0</v>
      </c>
      <c r="N102" s="41" t="str">
        <f>Registro_OT!W88</f>
        <v>OC Recibida - Pendiente Factura</v>
      </c>
      <c r="O102">
        <f>Registro_OT!AM88</f>
        <v>1</v>
      </c>
    </row>
    <row r="103" spans="2:15" x14ac:dyDescent="0.25">
      <c r="B103" t="str">
        <f>Registro_OT!A89</f>
        <v>OT-0088</v>
      </c>
      <c r="C103" t="str">
        <f>Registro_OT!B89</f>
        <v>CLI-003</v>
      </c>
      <c r="D103" t="str">
        <f>Registro_OT!C89</f>
        <v>SCCS-46</v>
      </c>
      <c r="E103" t="str">
        <f>Registro_OT!H89</f>
        <v>Cristian Araya</v>
      </c>
      <c r="F103" t="str">
        <f>Registro_OT!J89</f>
        <v>PRES-1088</v>
      </c>
      <c r="G103" s="40">
        <f>Registro_OT!L89</f>
        <v>144900</v>
      </c>
      <c r="H103" t="str">
        <f>Registro_OT!M89</f>
        <v>Aprobado</v>
      </c>
      <c r="I103" t="str">
        <f>Registro_OT!N89</f>
        <v>OC-5088</v>
      </c>
      <c r="J103" s="40">
        <f>Registro_OT!P89</f>
        <v>144900</v>
      </c>
      <c r="K103" t="str">
        <f>Registro_OT!Q89</f>
        <v>Recibida</v>
      </c>
      <c r="L103" t="str">
        <f>Registro_OT!R89</f>
        <v>FACT-3088</v>
      </c>
      <c r="M103" s="40">
        <f>Registro_OT!T89</f>
        <v>144900</v>
      </c>
      <c r="N103" s="41" t="str">
        <f>Registro_OT!W89</f>
        <v>CUADRADO (3-WAY OK)</v>
      </c>
      <c r="O103">
        <f>Registro_OT!AM89</f>
        <v>1</v>
      </c>
    </row>
    <row r="104" spans="2:15" x14ac:dyDescent="0.25">
      <c r="B104" t="str">
        <f>Registro_OT!A90</f>
        <v>OT-0089</v>
      </c>
      <c r="C104" t="str">
        <f>Registro_OT!B90</f>
        <v>CLI-009</v>
      </c>
      <c r="D104" t="str">
        <f>Registro_OT!C90</f>
        <v>PVBW-70</v>
      </c>
      <c r="E104" t="str">
        <f>Registro_OT!H90</f>
        <v>Cristian Araya</v>
      </c>
      <c r="F104" t="str">
        <f>Registro_OT!J90</f>
        <v>PRES-1089</v>
      </c>
      <c r="G104" s="40">
        <f>Registro_OT!L90</f>
        <v>199050</v>
      </c>
      <c r="H104" t="str">
        <f>Registro_OT!M90</f>
        <v>Aprobado</v>
      </c>
      <c r="I104" t="str">
        <f>Registro_OT!N90</f>
        <v>OC-5089</v>
      </c>
      <c r="J104" s="40">
        <f>Registro_OT!P90</f>
        <v>199050</v>
      </c>
      <c r="K104" t="str">
        <f>Registro_OT!Q90</f>
        <v>Recibida</v>
      </c>
      <c r="L104" t="str">
        <f>Registro_OT!R90</f>
        <v>FACT-3089</v>
      </c>
      <c r="M104" s="40">
        <f>Registro_OT!T90</f>
        <v>199050</v>
      </c>
      <c r="N104" s="41" t="str">
        <f>Registro_OT!W90</f>
        <v>CUADRADO (3-WAY OK)</v>
      </c>
      <c r="O104">
        <f>Registro_OT!AM90</f>
        <v>1</v>
      </c>
    </row>
    <row r="105" spans="2:15" x14ac:dyDescent="0.25">
      <c r="B105" t="str">
        <f>Registro_OT!A91</f>
        <v>OT-0090</v>
      </c>
      <c r="C105" t="str">
        <f>Registro_OT!B91</f>
        <v>CLI-013</v>
      </c>
      <c r="D105" t="str">
        <f>Registro_OT!C91</f>
        <v>YZHT-60</v>
      </c>
      <c r="E105" t="str">
        <f>Registro_OT!H91</f>
        <v>Marcelo Fuentes</v>
      </c>
      <c r="F105" t="str">
        <f>Registro_OT!J91</f>
        <v>PRES-1090</v>
      </c>
      <c r="G105" s="40">
        <f>Registro_OT!L91</f>
        <v>213000</v>
      </c>
      <c r="H105" t="str">
        <f>Registro_OT!M91</f>
        <v>Aprobado</v>
      </c>
      <c r="I105" t="str">
        <f>Registro_OT!N91</f>
        <v>OC-5090</v>
      </c>
      <c r="J105" s="40">
        <f>Registro_OT!P91</f>
        <v>213000</v>
      </c>
      <c r="K105" t="str">
        <f>Registro_OT!Q91</f>
        <v>Recibida</v>
      </c>
      <c r="L105" t="str">
        <f>Registro_OT!R91</f>
        <v>FACT-3090</v>
      </c>
      <c r="M105" s="40">
        <f>Registro_OT!T91</f>
        <v>213000</v>
      </c>
      <c r="N105" s="41" t="str">
        <f>Registro_OT!W91</f>
        <v>CUADRADO (3-WAY OK)</v>
      </c>
      <c r="O105">
        <f>Registro_OT!AM91</f>
        <v>1</v>
      </c>
    </row>
    <row r="106" spans="2:15" x14ac:dyDescent="0.25">
      <c r="B106" t="str">
        <f>Registro_OT!A92</f>
        <v>OT-0091</v>
      </c>
      <c r="C106" t="str">
        <f>Registro_OT!B92</f>
        <v>CLI-006</v>
      </c>
      <c r="D106" t="str">
        <f>Registro_OT!C92</f>
        <v>GWCV-69</v>
      </c>
      <c r="E106" t="str">
        <f>Registro_OT!H92</f>
        <v>Luis Contreras</v>
      </c>
      <c r="F106" t="str">
        <f>Registro_OT!J92</f>
        <v>PRES-1091</v>
      </c>
      <c r="G106" s="40">
        <f>Registro_OT!L92</f>
        <v>339060</v>
      </c>
      <c r="H106" t="str">
        <f>Registro_OT!M92</f>
        <v>Aprobado</v>
      </c>
      <c r="I106" t="str">
        <f>Registro_OT!N92</f>
        <v>OC-5091</v>
      </c>
      <c r="J106" s="40">
        <f>Registro_OT!P92</f>
        <v>339060</v>
      </c>
      <c r="K106" t="str">
        <f>Registro_OT!Q92</f>
        <v>Recibida</v>
      </c>
      <c r="L106" t="str">
        <f>Registro_OT!R92</f>
        <v>FACT-3091</v>
      </c>
      <c r="M106" s="40">
        <f>Registro_OT!T92</f>
        <v>339060</v>
      </c>
      <c r="N106" s="41" t="str">
        <f>Registro_OT!W92</f>
        <v>CUADRADO (3-WAY OK)</v>
      </c>
      <c r="O106">
        <f>Registro_OT!AM92</f>
        <v>1</v>
      </c>
    </row>
    <row r="107" spans="2:15" x14ac:dyDescent="0.25">
      <c r="B107" t="str">
        <f>Registro_OT!A93</f>
        <v>OT-0092</v>
      </c>
      <c r="C107" t="str">
        <f>Registro_OT!B93</f>
        <v>CLI-005</v>
      </c>
      <c r="D107" t="str">
        <f>Registro_OT!C93</f>
        <v>VBLH-45</v>
      </c>
      <c r="E107" t="str">
        <f>Registro_OT!H93</f>
        <v>Marcelo Fuentes</v>
      </c>
      <c r="F107" t="str">
        <f>Registro_OT!J93</f>
        <v>PRES-1092</v>
      </c>
      <c r="G107" s="40">
        <f>Registro_OT!L93</f>
        <v>227880</v>
      </c>
      <c r="H107" t="str">
        <f>Registro_OT!M93</f>
        <v>Aprobado</v>
      </c>
      <c r="I107" t="str">
        <f>Registro_OT!N93</f>
        <v>OC-5092</v>
      </c>
      <c r="J107" s="40">
        <f>Registro_OT!P93</f>
        <v>227880</v>
      </c>
      <c r="K107" t="str">
        <f>Registro_OT!Q93</f>
        <v>Recibida</v>
      </c>
      <c r="L107" t="str">
        <f>Registro_OT!R93</f>
        <v>FACT-3092</v>
      </c>
      <c r="M107" s="40">
        <f>Registro_OT!T93</f>
        <v>227880</v>
      </c>
      <c r="N107" s="41" t="str">
        <f>Registro_OT!W93</f>
        <v>CUADRADO (3-WAY OK)</v>
      </c>
      <c r="O107">
        <f>Registro_OT!AM93</f>
        <v>1</v>
      </c>
    </row>
    <row r="108" spans="2:15" x14ac:dyDescent="0.25">
      <c r="B108" t="str">
        <f>Registro_OT!A94</f>
        <v>OT-0093</v>
      </c>
      <c r="C108" t="str">
        <f>Registro_OT!B94</f>
        <v>CLI-001</v>
      </c>
      <c r="D108" t="str">
        <f>Registro_OT!C94</f>
        <v>RXGF-37</v>
      </c>
      <c r="E108" t="str">
        <f>Registro_OT!H94</f>
        <v>Luis Contreras</v>
      </c>
      <c r="F108" t="str">
        <f>Registro_OT!J94</f>
        <v>PRES-1093</v>
      </c>
      <c r="G108" s="40">
        <f>Registro_OT!L94</f>
        <v>195020</v>
      </c>
      <c r="H108" t="str">
        <f>Registro_OT!M94</f>
        <v>Aprobado</v>
      </c>
      <c r="I108" t="str">
        <f>Registro_OT!N94</f>
        <v>OC-5093</v>
      </c>
      <c r="J108" s="40">
        <f>Registro_OT!P94</f>
        <v>195020</v>
      </c>
      <c r="K108" t="str">
        <f>Registro_OT!Q94</f>
        <v>Recibida</v>
      </c>
      <c r="L108" t="str">
        <f>Registro_OT!R94</f>
        <v>FACT-3093</v>
      </c>
      <c r="M108" s="40">
        <f>Registro_OT!T94</f>
        <v>195020</v>
      </c>
      <c r="N108" s="41" t="str">
        <f>Registro_OT!W94</f>
        <v>CUADRADO (3-WAY OK)</v>
      </c>
      <c r="O108">
        <f>Registro_OT!AM94</f>
        <v>1</v>
      </c>
    </row>
    <row r="109" spans="2:15" x14ac:dyDescent="0.25">
      <c r="B109" t="str">
        <f>Registro_OT!A95</f>
        <v>OT-0094</v>
      </c>
      <c r="C109" t="str">
        <f>Registro_OT!B95</f>
        <v>CLI-006</v>
      </c>
      <c r="D109" t="str">
        <f>Registro_OT!C95</f>
        <v>RJLC-20</v>
      </c>
      <c r="E109" t="str">
        <f>Registro_OT!H95</f>
        <v>Luis Contreras</v>
      </c>
      <c r="F109" t="str">
        <f>Registro_OT!J95</f>
        <v>PRES-1094</v>
      </c>
      <c r="G109" s="40">
        <f>Registro_OT!L95</f>
        <v>326340</v>
      </c>
      <c r="H109" t="str">
        <f>Registro_OT!M95</f>
        <v>Aprobado</v>
      </c>
      <c r="I109" t="str">
        <f>Registro_OT!N95</f>
        <v>OC-5094</v>
      </c>
      <c r="J109" s="40">
        <f>Registro_OT!P95</f>
        <v>326340</v>
      </c>
      <c r="K109" t="str">
        <f>Registro_OT!Q95</f>
        <v>Recibida</v>
      </c>
      <c r="L109" t="str">
        <f>Registro_OT!R95</f>
        <v>FACT-3094</v>
      </c>
      <c r="M109" s="40">
        <f>Registro_OT!T95</f>
        <v>326340</v>
      </c>
      <c r="N109" s="41" t="str">
        <f>Registro_OT!W95</f>
        <v>CUADRADO (3-WAY OK)</v>
      </c>
      <c r="O109">
        <f>Registro_OT!AM95</f>
        <v>1</v>
      </c>
    </row>
    <row r="110" spans="2:15" x14ac:dyDescent="0.25">
      <c r="B110" t="str">
        <f>Registro_OT!A96</f>
        <v>OT-0095</v>
      </c>
      <c r="C110" t="str">
        <f>Registro_OT!B96</f>
        <v>CLI-009</v>
      </c>
      <c r="D110" t="str">
        <f>Registro_OT!C96</f>
        <v>FGDG-32</v>
      </c>
      <c r="E110" t="str">
        <f>Registro_OT!H96</f>
        <v>Luis Contreras</v>
      </c>
      <c r="F110" t="str">
        <f>Registro_OT!J96</f>
        <v>PRES-1095</v>
      </c>
      <c r="G110" s="40">
        <f>Registro_OT!L96</f>
        <v>164940</v>
      </c>
      <c r="H110" t="str">
        <f>Registro_OT!M96</f>
        <v>Aprobado</v>
      </c>
      <c r="I110" t="str">
        <f>Registro_OT!N96</f>
        <v>OC-5095</v>
      </c>
      <c r="J110" s="40">
        <f>Registro_OT!P96</f>
        <v>164940</v>
      </c>
      <c r="K110" t="str">
        <f>Registro_OT!Q96</f>
        <v>Recibida</v>
      </c>
      <c r="L110" t="str">
        <f>Registro_OT!R96</f>
        <v>FACT-3095</v>
      </c>
      <c r="M110" s="40">
        <f>Registro_OT!T96</f>
        <v>164940</v>
      </c>
      <c r="N110" s="41" t="str">
        <f>Registro_OT!W96</f>
        <v>CUADRADO (3-WAY OK)</v>
      </c>
      <c r="O110">
        <f>Registro_OT!AM96</f>
        <v>1</v>
      </c>
    </row>
    <row r="111" spans="2:15" x14ac:dyDescent="0.25">
      <c r="B111" t="str">
        <f>Registro_OT!A97</f>
        <v>OT-0096</v>
      </c>
      <c r="C111" t="str">
        <f>Registro_OT!B97</f>
        <v>CLI-005</v>
      </c>
      <c r="D111" t="str">
        <f>Registro_OT!C97</f>
        <v>FPRB-94</v>
      </c>
      <c r="E111" t="str">
        <f>Registro_OT!H97</f>
        <v>Marcelo Fuentes</v>
      </c>
      <c r="F111" t="str">
        <f>Registro_OT!J97</f>
        <v>PRES-1096</v>
      </c>
      <c r="G111" s="40">
        <f>Registro_OT!L97</f>
        <v>276260</v>
      </c>
      <c r="H111" t="str">
        <f>Registro_OT!M97</f>
        <v>Aprobado</v>
      </c>
      <c r="I111" t="str">
        <f>Registro_OT!N97</f>
        <v>OC-5096</v>
      </c>
      <c r="J111" s="40">
        <f>Registro_OT!P97</f>
        <v>276260</v>
      </c>
      <c r="K111" t="str">
        <f>Registro_OT!Q97</f>
        <v>Recibida</v>
      </c>
      <c r="L111" t="str">
        <f>Registro_OT!R97</f>
        <v>FACT-3096</v>
      </c>
      <c r="M111" s="40">
        <f>Registro_OT!T97</f>
        <v>276260</v>
      </c>
      <c r="N111" s="41" t="str">
        <f>Registro_OT!W97</f>
        <v>CUADRADO (3-WAY OK)</v>
      </c>
      <c r="O111">
        <f>Registro_OT!AM97</f>
        <v>1</v>
      </c>
    </row>
    <row r="112" spans="2:15" x14ac:dyDescent="0.25">
      <c r="B112" t="str">
        <f>Registro_OT!A98</f>
        <v>OT-0097</v>
      </c>
      <c r="C112" t="str">
        <f>Registro_OT!B98</f>
        <v>CLI-010</v>
      </c>
      <c r="D112" t="str">
        <f>Registro_OT!C98</f>
        <v>CFFL-57</v>
      </c>
      <c r="E112" t="str">
        <f>Registro_OT!H98</f>
        <v>Cristian Araya</v>
      </c>
      <c r="F112" t="str">
        <f>Registro_OT!J98</f>
        <v>PRES-1097</v>
      </c>
      <c r="G112" s="40">
        <f>Registro_OT!L98</f>
        <v>249440</v>
      </c>
      <c r="H112" t="str">
        <f>Registro_OT!M98</f>
        <v>Aprobado</v>
      </c>
      <c r="I112" t="str">
        <f>Registro_OT!N98</f>
        <v>OC-5097</v>
      </c>
      <c r="J112" s="40">
        <f>Registro_OT!P98</f>
        <v>249440</v>
      </c>
      <c r="K112" t="str">
        <f>Registro_OT!Q98</f>
        <v>Recibida</v>
      </c>
      <c r="L112" t="str">
        <f>Registro_OT!R98</f>
        <v>FACT-3097</v>
      </c>
      <c r="M112" s="40">
        <f>Registro_OT!T98</f>
        <v>249440</v>
      </c>
      <c r="N112" s="41" t="str">
        <f>Registro_OT!W98</f>
        <v>CUADRADO (3-WAY OK)</v>
      </c>
      <c r="O112">
        <f>Registro_OT!AM98</f>
        <v>1</v>
      </c>
    </row>
    <row r="113" spans="2:15" x14ac:dyDescent="0.25">
      <c r="B113" t="str">
        <f>Registro_OT!A99</f>
        <v>OT-0098</v>
      </c>
      <c r="C113" t="str">
        <f>Registro_OT!B99</f>
        <v>CLI-012</v>
      </c>
      <c r="D113" t="str">
        <f>Registro_OT!C99</f>
        <v>GWVV-51</v>
      </c>
      <c r="E113" t="str">
        <f>Registro_OT!H99</f>
        <v>Luis Contreras</v>
      </c>
      <c r="F113" t="str">
        <f>Registro_OT!J99</f>
        <v>PRES-1098</v>
      </c>
      <c r="G113" s="40">
        <f>Registro_OT!L99</f>
        <v>248600</v>
      </c>
      <c r="H113" t="str">
        <f>Registro_OT!M99</f>
        <v>Aprobado</v>
      </c>
      <c r="I113" t="str">
        <f>Registro_OT!N99</f>
        <v>OC-5098</v>
      </c>
      <c r="J113" s="40">
        <f>Registro_OT!P99</f>
        <v>248600</v>
      </c>
      <c r="K113" t="str">
        <f>Registro_OT!Q99</f>
        <v>Recibida</v>
      </c>
      <c r="L113">
        <f>Registro_OT!R99</f>
        <v>0</v>
      </c>
      <c r="M113" s="40">
        <f>Registro_OT!T99</f>
        <v>0</v>
      </c>
      <c r="N113" s="41" t="str">
        <f>Registro_OT!W99</f>
        <v>OC Recibida - Pendiente Factura</v>
      </c>
      <c r="O113">
        <f>Registro_OT!AM99</f>
        <v>1</v>
      </c>
    </row>
    <row r="114" spans="2:15" x14ac:dyDescent="0.25">
      <c r="B114" t="str">
        <f>Registro_OT!A100</f>
        <v>OT-0099</v>
      </c>
      <c r="C114" t="str">
        <f>Registro_OT!B100</f>
        <v>CLI-006</v>
      </c>
      <c r="D114" t="str">
        <f>Registro_OT!C100</f>
        <v>RPGJ-90</v>
      </c>
      <c r="E114" t="str">
        <f>Registro_OT!H100</f>
        <v>Daniela Mora</v>
      </c>
      <c r="F114" t="str">
        <f>Registro_OT!J100</f>
        <v>PRES-1099</v>
      </c>
      <c r="G114" s="40">
        <f>Registro_OT!L100</f>
        <v>915590</v>
      </c>
      <c r="H114" t="str">
        <f>Registro_OT!M100</f>
        <v>Aprobado</v>
      </c>
      <c r="I114" t="str">
        <f>Registro_OT!N100</f>
        <v>OC-5099</v>
      </c>
      <c r="J114" s="40">
        <f>Registro_OT!P100</f>
        <v>915590</v>
      </c>
      <c r="K114" t="str">
        <f>Registro_OT!Q100</f>
        <v>Recibida</v>
      </c>
      <c r="L114" t="str">
        <f>Registro_OT!R100</f>
        <v>FACT-3099</v>
      </c>
      <c r="M114" s="40">
        <f>Registro_OT!T100</f>
        <v>915590</v>
      </c>
      <c r="N114" s="41" t="str">
        <f>Registro_OT!W100</f>
        <v>CUADRADO (3-WAY OK)</v>
      </c>
      <c r="O114">
        <f>Registro_OT!AM100</f>
        <v>1</v>
      </c>
    </row>
    <row r="115" spans="2:15" x14ac:dyDescent="0.25">
      <c r="B115" t="str">
        <f>Registro_OT!A101</f>
        <v>OT-0100</v>
      </c>
      <c r="C115" t="str">
        <f>Registro_OT!B101</f>
        <v>CLI-013</v>
      </c>
      <c r="D115" t="str">
        <f>Registro_OT!C101</f>
        <v>SGFT-61</v>
      </c>
      <c r="E115" t="str">
        <f>Registro_OT!H101</f>
        <v>Cristian Araya</v>
      </c>
      <c r="F115" t="str">
        <f>Registro_OT!J101</f>
        <v>PRES-1100</v>
      </c>
      <c r="G115" s="40">
        <f>Registro_OT!L101</f>
        <v>800220</v>
      </c>
      <c r="H115" t="str">
        <f>Registro_OT!M101</f>
        <v>Aprobado</v>
      </c>
      <c r="I115" t="str">
        <f>Registro_OT!N101</f>
        <v>OC-5100</v>
      </c>
      <c r="J115" s="40">
        <f>Registro_OT!P101</f>
        <v>800220</v>
      </c>
      <c r="K115" t="str">
        <f>Registro_OT!Q101</f>
        <v>Recibida</v>
      </c>
      <c r="L115" t="str">
        <f>Registro_OT!R101</f>
        <v>FACT-3100</v>
      </c>
      <c r="M115" s="40">
        <f>Registro_OT!T101</f>
        <v>800220</v>
      </c>
      <c r="N115" s="41" t="str">
        <f>Registro_OT!W101</f>
        <v>CUADRADO (3-WAY OK)</v>
      </c>
      <c r="O115">
        <f>Registro_OT!AM101</f>
        <v>1</v>
      </c>
    </row>
    <row r="116" spans="2:15" x14ac:dyDescent="0.25">
      <c r="B116" t="str">
        <f>Registro_OT!A102</f>
        <v>OT-0101</v>
      </c>
      <c r="C116" t="str">
        <f>Registro_OT!B102</f>
        <v>CLI-016</v>
      </c>
      <c r="D116" t="str">
        <f>Registro_OT!C102</f>
        <v>KVHY-74</v>
      </c>
      <c r="E116" t="str">
        <f>Registro_OT!H102</f>
        <v>Marcelo Fuentes</v>
      </c>
      <c r="F116" t="str">
        <f>Registro_OT!J102</f>
        <v>PRES-1101</v>
      </c>
      <c r="G116" s="40">
        <f>Registro_OT!L102</f>
        <v>719600</v>
      </c>
      <c r="H116" t="str">
        <f>Registro_OT!M102</f>
        <v>Aprobado</v>
      </c>
      <c r="I116" t="str">
        <f>Registro_OT!N102</f>
        <v>OC-5101</v>
      </c>
      <c r="J116" s="40">
        <f>Registro_OT!P102</f>
        <v>719600</v>
      </c>
      <c r="K116" t="str">
        <f>Registro_OT!Q102</f>
        <v>Recibida</v>
      </c>
      <c r="L116" t="str">
        <f>Registro_OT!R102</f>
        <v>FACT-3101</v>
      </c>
      <c r="M116" s="40">
        <f>Registro_OT!T102</f>
        <v>719600</v>
      </c>
      <c r="N116" s="41" t="str">
        <f>Registro_OT!W102</f>
        <v>CUADRADO (3-WAY OK)</v>
      </c>
      <c r="O116">
        <f>Registro_OT!AM102</f>
        <v>1</v>
      </c>
    </row>
    <row r="117" spans="2:15" x14ac:dyDescent="0.25">
      <c r="B117" t="str">
        <f>Registro_OT!A103</f>
        <v>OT-0102</v>
      </c>
      <c r="C117" t="str">
        <f>Registro_OT!B103</f>
        <v>CLI-001</v>
      </c>
      <c r="D117" t="str">
        <f>Registro_OT!C103</f>
        <v>YDCZ-59</v>
      </c>
      <c r="E117" t="str">
        <f>Registro_OT!H103</f>
        <v>Patricio Rojas</v>
      </c>
      <c r="F117" t="str">
        <f>Registro_OT!J103</f>
        <v>PRES-1102</v>
      </c>
      <c r="G117" s="40">
        <f>Registro_OT!L103</f>
        <v>2078700</v>
      </c>
      <c r="H117" t="str">
        <f>Registro_OT!M103</f>
        <v>Aprobado</v>
      </c>
      <c r="I117" t="str">
        <f>Registro_OT!N103</f>
        <v>OC-5102</v>
      </c>
      <c r="J117" s="40">
        <f>Registro_OT!P103</f>
        <v>2078700</v>
      </c>
      <c r="K117" t="str">
        <f>Registro_OT!Q103</f>
        <v>Recibida</v>
      </c>
      <c r="L117" t="str">
        <f>Registro_OT!R103</f>
        <v>FACT-3102</v>
      </c>
      <c r="M117" s="40">
        <f>Registro_OT!T103</f>
        <v>2078700</v>
      </c>
      <c r="N117" s="41" t="str">
        <f>Registro_OT!W103</f>
        <v>CUADRADO (3-WAY OK)</v>
      </c>
      <c r="O117">
        <f>Registro_OT!AM103</f>
        <v>1</v>
      </c>
    </row>
    <row r="118" spans="2:15" x14ac:dyDescent="0.25">
      <c r="B118" t="str">
        <f>Registro_OT!A104</f>
        <v>OT-0103</v>
      </c>
      <c r="C118" t="str">
        <f>Registro_OT!B104</f>
        <v>CLI-005</v>
      </c>
      <c r="D118" t="str">
        <f>Registro_OT!C104</f>
        <v>STHZ-29</v>
      </c>
      <c r="E118" t="str">
        <f>Registro_OT!H104</f>
        <v>Cristian Araya</v>
      </c>
      <c r="F118" t="str">
        <f>Registro_OT!J104</f>
        <v>PRES-1103</v>
      </c>
      <c r="G118" s="40">
        <f>Registro_OT!L104</f>
        <v>428900</v>
      </c>
      <c r="H118" t="str">
        <f>Registro_OT!M104</f>
        <v>Aprobado</v>
      </c>
      <c r="I118" t="str">
        <f>Registro_OT!N104</f>
        <v>OC-5103</v>
      </c>
      <c r="J118" s="40">
        <f>Registro_OT!P104</f>
        <v>428900</v>
      </c>
      <c r="K118" t="str">
        <f>Registro_OT!Q104</f>
        <v>Recibida</v>
      </c>
      <c r="L118" t="str">
        <f>Registro_OT!R104</f>
        <v>FACT-3103</v>
      </c>
      <c r="M118" s="40">
        <f>Registro_OT!T104</f>
        <v>428900</v>
      </c>
      <c r="N118" s="41" t="str">
        <f>Registro_OT!W104</f>
        <v>CUADRADO (3-WAY OK)</v>
      </c>
      <c r="O118">
        <f>Registro_OT!AM104</f>
        <v>1</v>
      </c>
    </row>
    <row r="119" spans="2:15" x14ac:dyDescent="0.25">
      <c r="B119" t="str">
        <f>Registro_OT!A105</f>
        <v>OT-0104</v>
      </c>
      <c r="C119" t="str">
        <f>Registro_OT!B105</f>
        <v>CLI-008</v>
      </c>
      <c r="D119" t="str">
        <f>Registro_OT!C105</f>
        <v>CTHT-58</v>
      </c>
      <c r="E119" t="str">
        <f>Registro_OT!H105</f>
        <v>Cristian Araya</v>
      </c>
      <c r="F119" t="str">
        <f>Registro_OT!J105</f>
        <v>PRES-1104</v>
      </c>
      <c r="G119" s="40">
        <f>Registro_OT!L105</f>
        <v>647270</v>
      </c>
      <c r="H119" t="str">
        <f>Registro_OT!M105</f>
        <v>Aprobado</v>
      </c>
      <c r="I119" t="str">
        <f>Registro_OT!N105</f>
        <v>OC-5104</v>
      </c>
      <c r="J119" s="40">
        <f>Registro_OT!P105</f>
        <v>647270</v>
      </c>
      <c r="K119" t="str">
        <f>Registro_OT!Q105</f>
        <v>Recibida</v>
      </c>
      <c r="L119" t="str">
        <f>Registro_OT!R105</f>
        <v>FACT-3104</v>
      </c>
      <c r="M119" s="40">
        <f>Registro_OT!T105</f>
        <v>647270</v>
      </c>
      <c r="N119" s="41" t="str">
        <f>Registro_OT!W105</f>
        <v>CUADRADO (3-WAY OK)</v>
      </c>
      <c r="O119">
        <f>Registro_OT!AM105</f>
        <v>1</v>
      </c>
    </row>
    <row r="120" spans="2:15" x14ac:dyDescent="0.25">
      <c r="B120" t="str">
        <f>Registro_OT!A106</f>
        <v>OT-0105</v>
      </c>
      <c r="C120" t="str">
        <f>Registro_OT!B106</f>
        <v>CLI-001</v>
      </c>
      <c r="D120" t="str">
        <f>Registro_OT!C106</f>
        <v>VYYX-35</v>
      </c>
      <c r="E120" t="str">
        <f>Registro_OT!H106</f>
        <v>Andrea Salinas</v>
      </c>
      <c r="F120" t="str">
        <f>Registro_OT!J106</f>
        <v>PRES-1105</v>
      </c>
      <c r="G120" s="40">
        <f>Registro_OT!L106</f>
        <v>895170</v>
      </c>
      <c r="H120" t="str">
        <f>Registro_OT!M106</f>
        <v>Aprobado</v>
      </c>
      <c r="I120" t="str">
        <f>Registro_OT!N106</f>
        <v>OC-5105</v>
      </c>
      <c r="J120" s="40">
        <f>Registro_OT!P106</f>
        <v>895170</v>
      </c>
      <c r="K120" t="str">
        <f>Registro_OT!Q106</f>
        <v>Recibida</v>
      </c>
      <c r="L120" t="str">
        <f>Registro_OT!R106</f>
        <v>FACT-3105</v>
      </c>
      <c r="M120" s="40">
        <f>Registro_OT!T106</f>
        <v>895170</v>
      </c>
      <c r="N120" s="41" t="str">
        <f>Registro_OT!W106</f>
        <v>CUADRADO (3-WAY OK)</v>
      </c>
      <c r="O120">
        <f>Registro_OT!AM106</f>
        <v>1</v>
      </c>
    </row>
    <row r="121" spans="2:15" x14ac:dyDescent="0.25">
      <c r="B121" t="str">
        <f>Registro_OT!A107</f>
        <v>OT-0106</v>
      </c>
      <c r="C121" t="str">
        <f>Registro_OT!B107</f>
        <v>CLI-001</v>
      </c>
      <c r="D121" t="str">
        <f>Registro_OT!C107</f>
        <v>XDFV-14</v>
      </c>
      <c r="E121" t="str">
        <f>Registro_OT!H107</f>
        <v>Marcelo Fuentes</v>
      </c>
      <c r="F121" t="str">
        <f>Registro_OT!J107</f>
        <v>PRES-1106</v>
      </c>
      <c r="G121" s="40">
        <f>Registro_OT!L107</f>
        <v>932480</v>
      </c>
      <c r="H121" t="str">
        <f>Registro_OT!M107</f>
        <v>Aprobado</v>
      </c>
      <c r="I121" t="str">
        <f>Registro_OT!N107</f>
        <v>OC-5106</v>
      </c>
      <c r="J121" s="40">
        <f>Registro_OT!P107</f>
        <v>932480</v>
      </c>
      <c r="K121" t="str">
        <f>Registro_OT!Q107</f>
        <v>Recibida</v>
      </c>
      <c r="L121" t="str">
        <f>Registro_OT!R107</f>
        <v>FACT-3106</v>
      </c>
      <c r="M121" s="40">
        <f>Registro_OT!T107</f>
        <v>932480</v>
      </c>
      <c r="N121" s="41" t="str">
        <f>Registro_OT!W107</f>
        <v>CUADRADO (3-WAY OK)</v>
      </c>
      <c r="O121">
        <f>Registro_OT!AM107</f>
        <v>1</v>
      </c>
    </row>
    <row r="122" spans="2:15" x14ac:dyDescent="0.25">
      <c r="B122" t="str">
        <f>Registro_OT!A108</f>
        <v>OT-0107</v>
      </c>
      <c r="C122" t="str">
        <f>Registro_OT!B108</f>
        <v>CLI-002</v>
      </c>
      <c r="D122" t="str">
        <f>Registro_OT!C108</f>
        <v>HTCP-28</v>
      </c>
      <c r="E122" t="str">
        <f>Registro_OT!H108</f>
        <v>Marcelo Fuentes</v>
      </c>
      <c r="F122" t="str">
        <f>Registro_OT!J108</f>
        <v>PRES-1107</v>
      </c>
      <c r="G122" s="40">
        <f>Registro_OT!L108</f>
        <v>142160</v>
      </c>
      <c r="H122" t="str">
        <f>Registro_OT!M108</f>
        <v>Aprobado</v>
      </c>
      <c r="I122" t="str">
        <f>Registro_OT!N108</f>
        <v>OC-5107</v>
      </c>
      <c r="J122" s="40">
        <f>Registro_OT!P108</f>
        <v>142160</v>
      </c>
      <c r="K122" t="str">
        <f>Registro_OT!Q108</f>
        <v>Recibida</v>
      </c>
      <c r="L122">
        <f>Registro_OT!R108</f>
        <v>0</v>
      </c>
      <c r="M122" s="40">
        <f>Registro_OT!T108</f>
        <v>0</v>
      </c>
      <c r="N122" s="41" t="str">
        <f>Registro_OT!W108</f>
        <v>OC Recibida - Pendiente Factura</v>
      </c>
      <c r="O122">
        <f>Registro_OT!AM108</f>
        <v>1</v>
      </c>
    </row>
    <row r="123" spans="2:15" x14ac:dyDescent="0.25">
      <c r="B123" t="str">
        <f>Registro_OT!A109</f>
        <v>OT-0108</v>
      </c>
      <c r="C123" t="str">
        <f>Registro_OT!B109</f>
        <v>CLI-001</v>
      </c>
      <c r="D123" t="str">
        <f>Registro_OT!C109</f>
        <v>FRVX-66</v>
      </c>
      <c r="E123" t="str">
        <f>Registro_OT!H109</f>
        <v>Marcelo Fuentes</v>
      </c>
      <c r="F123" t="str">
        <f>Registro_OT!J109</f>
        <v>PRES-1108</v>
      </c>
      <c r="G123" s="40">
        <f>Registro_OT!L109</f>
        <v>289380</v>
      </c>
      <c r="H123" t="str">
        <f>Registro_OT!M109</f>
        <v>Aprobado</v>
      </c>
      <c r="I123" t="str">
        <f>Registro_OT!N109</f>
        <v>OC-5108</v>
      </c>
      <c r="J123" s="40">
        <f>Registro_OT!P109</f>
        <v>289380</v>
      </c>
      <c r="K123" t="str">
        <f>Registro_OT!Q109</f>
        <v>Recibida</v>
      </c>
      <c r="L123" t="str">
        <f>Registro_OT!R109</f>
        <v>FACT-3108</v>
      </c>
      <c r="M123" s="40">
        <f>Registro_OT!T109</f>
        <v>289380</v>
      </c>
      <c r="N123" s="41" t="str">
        <f>Registro_OT!W109</f>
        <v>CUADRADO (3-WAY OK)</v>
      </c>
      <c r="O123">
        <f>Registro_OT!AM109</f>
        <v>1</v>
      </c>
    </row>
    <row r="124" spans="2:15" x14ac:dyDescent="0.25">
      <c r="B124" t="str">
        <f>Registro_OT!A110</f>
        <v>OT-0109</v>
      </c>
      <c r="C124" t="str">
        <f>Registro_OT!B110</f>
        <v>CLI-006</v>
      </c>
      <c r="D124" t="str">
        <f>Registro_OT!C110</f>
        <v>KTJH-57</v>
      </c>
      <c r="E124" t="str">
        <f>Registro_OT!H110</f>
        <v>Cristian Araya</v>
      </c>
      <c r="F124" t="str">
        <f>Registro_OT!J110</f>
        <v>PRES-1109</v>
      </c>
      <c r="G124" s="40">
        <f>Registro_OT!L110</f>
        <v>368980</v>
      </c>
      <c r="H124" t="str">
        <f>Registro_OT!M110</f>
        <v>Aprobado</v>
      </c>
      <c r="I124" t="str">
        <f>Registro_OT!N110</f>
        <v>OC-5109</v>
      </c>
      <c r="J124" s="40">
        <f>Registro_OT!P110</f>
        <v>368980</v>
      </c>
      <c r="K124" t="str">
        <f>Registro_OT!Q110</f>
        <v>Recibida</v>
      </c>
      <c r="L124">
        <f>Registro_OT!R110</f>
        <v>0</v>
      </c>
      <c r="M124" s="40">
        <f>Registro_OT!T110</f>
        <v>0</v>
      </c>
      <c r="N124" s="41" t="str">
        <f>Registro_OT!W110</f>
        <v>OC Recibida - Pendiente Factura</v>
      </c>
      <c r="O124">
        <f>Registro_OT!AM110</f>
        <v>1</v>
      </c>
    </row>
    <row r="125" spans="2:15" x14ac:dyDescent="0.25">
      <c r="B125" t="str">
        <f>Registro_OT!A111</f>
        <v>OT-0110</v>
      </c>
      <c r="C125" t="str">
        <f>Registro_OT!B111</f>
        <v>CLI-003</v>
      </c>
      <c r="D125" t="str">
        <f>Registro_OT!C111</f>
        <v>HVKZ-95</v>
      </c>
      <c r="E125" t="str">
        <f>Registro_OT!H111</f>
        <v>Luis Contreras</v>
      </c>
      <c r="F125" t="str">
        <f>Registro_OT!J111</f>
        <v>PRES-1110</v>
      </c>
      <c r="G125" s="40">
        <f>Registro_OT!L111</f>
        <v>571190</v>
      </c>
      <c r="H125" t="str">
        <f>Registro_OT!M111</f>
        <v>Aprobado</v>
      </c>
      <c r="I125" t="str">
        <f>Registro_OT!N111</f>
        <v>OC-5110</v>
      </c>
      <c r="J125" s="40">
        <f>Registro_OT!P111</f>
        <v>571190</v>
      </c>
      <c r="K125" t="str">
        <f>Registro_OT!Q111</f>
        <v>Recibida</v>
      </c>
      <c r="L125" t="str">
        <f>Registro_OT!R111</f>
        <v>FACT-3110</v>
      </c>
      <c r="M125" s="40">
        <f>Registro_OT!T111</f>
        <v>571190</v>
      </c>
      <c r="N125" s="41" t="str">
        <f>Registro_OT!W111</f>
        <v>CUADRADO (3-WAY OK)</v>
      </c>
      <c r="O125">
        <f>Registro_OT!AM111</f>
        <v>1</v>
      </c>
    </row>
    <row r="126" spans="2:15" x14ac:dyDescent="0.25">
      <c r="B126" t="str">
        <f>Registro_OT!A112</f>
        <v>OT-0111</v>
      </c>
      <c r="C126" t="str">
        <f>Registro_OT!B112</f>
        <v>CLI-010</v>
      </c>
      <c r="D126" t="str">
        <f>Registro_OT!C112</f>
        <v>XWTV-65</v>
      </c>
      <c r="E126" t="str">
        <f>Registro_OT!H112</f>
        <v>Marcelo Fuentes</v>
      </c>
      <c r="F126" t="str">
        <f>Registro_OT!J112</f>
        <v>PRES-1111</v>
      </c>
      <c r="G126" s="40">
        <f>Registro_OT!L112</f>
        <v>356270</v>
      </c>
      <c r="H126" t="str">
        <f>Registro_OT!M112</f>
        <v>Aprobado</v>
      </c>
      <c r="I126" t="str">
        <f>Registro_OT!N112</f>
        <v>OC-5111</v>
      </c>
      <c r="J126" s="40">
        <f>Registro_OT!P112</f>
        <v>356270</v>
      </c>
      <c r="K126" t="str">
        <f>Registro_OT!Q112</f>
        <v>Recibida</v>
      </c>
      <c r="L126" t="str">
        <f>Registro_OT!R112</f>
        <v>FACT-3111</v>
      </c>
      <c r="M126" s="40">
        <f>Registro_OT!T112</f>
        <v>356270</v>
      </c>
      <c r="N126" s="41" t="str">
        <f>Registro_OT!W112</f>
        <v>CUADRADO (3-WAY OK)</v>
      </c>
      <c r="O126">
        <f>Registro_OT!AM112</f>
        <v>1</v>
      </c>
    </row>
    <row r="127" spans="2:15" x14ac:dyDescent="0.25">
      <c r="B127" t="str">
        <f>Registro_OT!A113</f>
        <v>OT-0112</v>
      </c>
      <c r="C127" t="str">
        <f>Registro_OT!B113</f>
        <v>CLI-008</v>
      </c>
      <c r="D127" t="str">
        <f>Registro_OT!C113</f>
        <v>DXKX-24</v>
      </c>
      <c r="E127" t="str">
        <f>Registro_OT!H113</f>
        <v>Héctor Pizarro</v>
      </c>
      <c r="F127" t="str">
        <f>Registro_OT!J113</f>
        <v>PRES-1112</v>
      </c>
      <c r="G127" s="40">
        <f>Registro_OT!L113</f>
        <v>458770</v>
      </c>
      <c r="H127" t="str">
        <f>Registro_OT!M113</f>
        <v>Aprobado</v>
      </c>
      <c r="I127" t="str">
        <f>Registro_OT!N113</f>
        <v>OC-5112</v>
      </c>
      <c r="J127" s="40">
        <f>Registro_OT!P113</f>
        <v>458770</v>
      </c>
      <c r="K127" t="str">
        <f>Registro_OT!Q113</f>
        <v>Recibida</v>
      </c>
      <c r="L127" t="str">
        <f>Registro_OT!R113</f>
        <v>FACT-3112</v>
      </c>
      <c r="M127" s="40">
        <f>Registro_OT!T113</f>
        <v>458770</v>
      </c>
      <c r="N127" s="41" t="str">
        <f>Registro_OT!W113</f>
        <v>CUADRADO (3-WAY OK)</v>
      </c>
      <c r="O127">
        <f>Registro_OT!AM113</f>
        <v>1</v>
      </c>
    </row>
    <row r="128" spans="2:15" x14ac:dyDescent="0.25">
      <c r="B128" t="str">
        <f>Registro_OT!A114</f>
        <v>OT-0113</v>
      </c>
      <c r="C128" t="str">
        <f>Registro_OT!B114</f>
        <v>CLI-015</v>
      </c>
      <c r="D128" t="str">
        <f>Registro_OT!C114</f>
        <v>RJKY-57</v>
      </c>
      <c r="E128" t="str">
        <f>Registro_OT!H114</f>
        <v>Andrea Salinas</v>
      </c>
      <c r="F128" t="str">
        <f>Registro_OT!J114</f>
        <v>PRES-1113</v>
      </c>
      <c r="G128" s="40">
        <f>Registro_OT!L114</f>
        <v>302910</v>
      </c>
      <c r="H128" t="str">
        <f>Registro_OT!M114</f>
        <v>Aprobado</v>
      </c>
      <c r="I128" t="str">
        <f>Registro_OT!N114</f>
        <v>OC-5113</v>
      </c>
      <c r="J128" s="40">
        <f>Registro_OT!P114</f>
        <v>302910</v>
      </c>
      <c r="K128" t="str">
        <f>Registro_OT!Q114</f>
        <v>Recibida</v>
      </c>
      <c r="L128" t="str">
        <f>Registro_OT!R114</f>
        <v>FACT-3113</v>
      </c>
      <c r="M128" s="40">
        <f>Registro_OT!T114</f>
        <v>302910</v>
      </c>
      <c r="N128" s="41" t="str">
        <f>Registro_OT!W114</f>
        <v>CUADRADO (3-WAY OK)</v>
      </c>
      <c r="O128">
        <f>Registro_OT!AM114</f>
        <v>1</v>
      </c>
    </row>
    <row r="129" spans="2:15" x14ac:dyDescent="0.25">
      <c r="B129" t="str">
        <f>Registro_OT!A115</f>
        <v>OT-0114</v>
      </c>
      <c r="C129" t="str">
        <f>Registro_OT!B115</f>
        <v>CLI-007</v>
      </c>
      <c r="D129" t="str">
        <f>Registro_OT!C115</f>
        <v>RJVR-24</v>
      </c>
      <c r="E129" t="str">
        <f>Registro_OT!H115</f>
        <v>Cristian Araya</v>
      </c>
      <c r="F129" t="str">
        <f>Registro_OT!J115</f>
        <v>PRES-1114</v>
      </c>
      <c r="G129" s="40">
        <f>Registro_OT!L115</f>
        <v>392440</v>
      </c>
      <c r="H129" t="str">
        <f>Registro_OT!M115</f>
        <v>Aprobado</v>
      </c>
      <c r="I129" t="str">
        <f>Registro_OT!N115</f>
        <v>OC-5114</v>
      </c>
      <c r="J129" s="40">
        <f>Registro_OT!P115</f>
        <v>392440</v>
      </c>
      <c r="K129" t="str">
        <f>Registro_OT!Q115</f>
        <v>Recibida</v>
      </c>
      <c r="L129" t="str">
        <f>Registro_OT!R115</f>
        <v>FACT-3114</v>
      </c>
      <c r="M129" s="40">
        <f>Registro_OT!T115</f>
        <v>392440</v>
      </c>
      <c r="N129" s="41" t="str">
        <f>Registro_OT!W115</f>
        <v>CUADRADO (3-WAY OK)</v>
      </c>
      <c r="O129">
        <f>Registro_OT!AM115</f>
        <v>1</v>
      </c>
    </row>
    <row r="130" spans="2:15" x14ac:dyDescent="0.25">
      <c r="B130" t="str">
        <f>Registro_OT!A116</f>
        <v>OT-0115</v>
      </c>
      <c r="C130" t="str">
        <f>Registro_OT!B116</f>
        <v>CLI-011</v>
      </c>
      <c r="D130" t="str">
        <f>Registro_OT!C116</f>
        <v>CFLD-34</v>
      </c>
      <c r="E130" t="str">
        <f>Registro_OT!H116</f>
        <v>Cristian Araya</v>
      </c>
      <c r="F130" t="str">
        <f>Registro_OT!J116</f>
        <v>PRES-1115</v>
      </c>
      <c r="G130" s="40">
        <f>Registro_OT!L116</f>
        <v>197710</v>
      </c>
      <c r="H130" t="str">
        <f>Registro_OT!M116</f>
        <v>Aprobado</v>
      </c>
      <c r="I130" t="str">
        <f>Registro_OT!N116</f>
        <v>OC-5115</v>
      </c>
      <c r="J130" s="40">
        <f>Registro_OT!P116</f>
        <v>197710</v>
      </c>
      <c r="K130" t="str">
        <f>Registro_OT!Q116</f>
        <v>Recibida</v>
      </c>
      <c r="L130">
        <f>Registro_OT!R116</f>
        <v>0</v>
      </c>
      <c r="M130" s="40">
        <f>Registro_OT!T116</f>
        <v>0</v>
      </c>
      <c r="N130" s="41" t="str">
        <f>Registro_OT!W116</f>
        <v>OC Recibida - Pendiente Factura</v>
      </c>
      <c r="O130">
        <f>Registro_OT!AM116</f>
        <v>1</v>
      </c>
    </row>
    <row r="131" spans="2:15" x14ac:dyDescent="0.25">
      <c r="B131" t="str">
        <f>Registro_OT!A117</f>
        <v>OT-0116</v>
      </c>
      <c r="C131" t="str">
        <f>Registro_OT!B117</f>
        <v>CLI-012</v>
      </c>
      <c r="D131" t="str">
        <f>Registro_OT!C117</f>
        <v>LJPY-44</v>
      </c>
      <c r="E131" t="str">
        <f>Registro_OT!H117</f>
        <v>Cristian Araya</v>
      </c>
      <c r="F131" t="str">
        <f>Registro_OT!J117</f>
        <v>PRES-1116</v>
      </c>
      <c r="G131" s="40">
        <f>Registro_OT!L117</f>
        <v>723540</v>
      </c>
      <c r="H131" t="str">
        <f>Registro_OT!M117</f>
        <v>Aprobado</v>
      </c>
      <c r="I131" t="str">
        <f>Registro_OT!N117</f>
        <v>OC-5116</v>
      </c>
      <c r="J131" s="40">
        <f>Registro_OT!P117</f>
        <v>723540</v>
      </c>
      <c r="K131" t="str">
        <f>Registro_OT!Q117</f>
        <v>Recibida</v>
      </c>
      <c r="L131">
        <f>Registro_OT!R117</f>
        <v>0</v>
      </c>
      <c r="M131" s="40">
        <f>Registro_OT!T117</f>
        <v>0</v>
      </c>
      <c r="N131" s="41" t="str">
        <f>Registro_OT!W117</f>
        <v>OC Recibida - Pendiente Factura</v>
      </c>
      <c r="O131">
        <f>Registro_OT!AM117</f>
        <v>1</v>
      </c>
    </row>
    <row r="132" spans="2:15" x14ac:dyDescent="0.25">
      <c r="B132" t="str">
        <f>Registro_OT!A118</f>
        <v>OT-0117</v>
      </c>
      <c r="C132" t="str">
        <f>Registro_OT!B118</f>
        <v>CLI-011</v>
      </c>
      <c r="D132" t="str">
        <f>Registro_OT!C118</f>
        <v>KDWY-35</v>
      </c>
      <c r="E132" t="str">
        <f>Registro_OT!H118</f>
        <v>Luis Contreras</v>
      </c>
      <c r="F132" t="str">
        <f>Registro_OT!J118</f>
        <v>PRES-1117</v>
      </c>
      <c r="G132" s="40">
        <f>Registro_OT!L118</f>
        <v>293700</v>
      </c>
      <c r="H132" t="str">
        <f>Registro_OT!M118</f>
        <v>Aprobado</v>
      </c>
      <c r="I132" t="str">
        <f>Registro_OT!N118</f>
        <v>OC-5117</v>
      </c>
      <c r="J132" s="40">
        <f>Registro_OT!P118</f>
        <v>293700</v>
      </c>
      <c r="K132" t="str">
        <f>Registro_OT!Q118</f>
        <v>Recibida</v>
      </c>
      <c r="L132" t="str">
        <f>Registro_OT!R118</f>
        <v>FACT-3117</v>
      </c>
      <c r="M132" s="40">
        <f>Registro_OT!T118</f>
        <v>293700</v>
      </c>
      <c r="N132" s="41" t="str">
        <f>Registro_OT!W118</f>
        <v>CUADRADO (3-WAY OK)</v>
      </c>
      <c r="O132">
        <f>Registro_OT!AM118</f>
        <v>1</v>
      </c>
    </row>
    <row r="133" spans="2:15" x14ac:dyDescent="0.25">
      <c r="B133" t="str">
        <f>Registro_OT!A119</f>
        <v>OT-0118</v>
      </c>
      <c r="C133" t="str">
        <f>Registro_OT!B119</f>
        <v>CLI-015</v>
      </c>
      <c r="D133" t="str">
        <f>Registro_OT!C119</f>
        <v>WZGT-76</v>
      </c>
      <c r="E133" t="str">
        <f>Registro_OT!H119</f>
        <v>Luis Contreras</v>
      </c>
      <c r="F133" t="str">
        <f>Registro_OT!J119</f>
        <v>PRES-1118</v>
      </c>
      <c r="G133" s="40">
        <f>Registro_OT!L119</f>
        <v>693280</v>
      </c>
      <c r="H133" t="str">
        <f>Registro_OT!M119</f>
        <v>Aprobado</v>
      </c>
      <c r="I133" t="str">
        <f>Registro_OT!N119</f>
        <v>OC-5118</v>
      </c>
      <c r="J133" s="40">
        <f>Registro_OT!P119</f>
        <v>693280</v>
      </c>
      <c r="K133" t="str">
        <f>Registro_OT!Q119</f>
        <v>Recibida</v>
      </c>
      <c r="L133" t="str">
        <f>Registro_OT!R119</f>
        <v>FACT-3118</v>
      </c>
      <c r="M133" s="40">
        <f>Registro_OT!T119</f>
        <v>693280</v>
      </c>
      <c r="N133" s="41" t="str">
        <f>Registro_OT!W119</f>
        <v>CUADRADO (3-WAY OK)</v>
      </c>
      <c r="O133">
        <f>Registro_OT!AM119</f>
        <v>1</v>
      </c>
    </row>
    <row r="134" spans="2:15" x14ac:dyDescent="0.25">
      <c r="B134" t="str">
        <f>Registro_OT!A120</f>
        <v>OT-0119</v>
      </c>
      <c r="C134" t="str">
        <f>Registro_OT!B120</f>
        <v>CLI-001</v>
      </c>
      <c r="D134" t="str">
        <f>Registro_OT!C120</f>
        <v>KJTY-26</v>
      </c>
      <c r="E134" t="str">
        <f>Registro_OT!H120</f>
        <v>Cristian Araya</v>
      </c>
      <c r="F134" t="str">
        <f>Registro_OT!J120</f>
        <v>PRES-1119</v>
      </c>
      <c r="G134" s="40">
        <f>Registro_OT!L120</f>
        <v>487880</v>
      </c>
      <c r="H134" t="str">
        <f>Registro_OT!M120</f>
        <v>Aprobado</v>
      </c>
      <c r="I134" t="str">
        <f>Registro_OT!N120</f>
        <v>OC-5119</v>
      </c>
      <c r="J134" s="40">
        <f>Registro_OT!P120</f>
        <v>487880</v>
      </c>
      <c r="K134" t="str">
        <f>Registro_OT!Q120</f>
        <v>Recibida</v>
      </c>
      <c r="L134" t="str">
        <f>Registro_OT!R120</f>
        <v>FACT-3119</v>
      </c>
      <c r="M134" s="40">
        <f>Registro_OT!T120</f>
        <v>487880</v>
      </c>
      <c r="N134" s="41" t="str">
        <f>Registro_OT!W120</f>
        <v>CUADRADO (3-WAY OK)</v>
      </c>
      <c r="O134">
        <f>Registro_OT!AM120</f>
        <v>1</v>
      </c>
    </row>
    <row r="135" spans="2:15" x14ac:dyDescent="0.25">
      <c r="B135" t="str">
        <f>Registro_OT!A121</f>
        <v>OT-0120</v>
      </c>
      <c r="C135" t="str">
        <f>Registro_OT!B121</f>
        <v>CLI-012</v>
      </c>
      <c r="D135" t="str">
        <f>Registro_OT!C121</f>
        <v>RKLK-19</v>
      </c>
      <c r="E135" t="str">
        <f>Registro_OT!H121</f>
        <v>Andrea Salinas</v>
      </c>
      <c r="F135" t="str">
        <f>Registro_OT!J121</f>
        <v>PRES-1120</v>
      </c>
      <c r="G135" s="40">
        <f>Registro_OT!L121</f>
        <v>348070</v>
      </c>
      <c r="H135" t="str">
        <f>Registro_OT!M121</f>
        <v>Aprobado</v>
      </c>
      <c r="I135" t="str">
        <f>Registro_OT!N121</f>
        <v>OC-5120</v>
      </c>
      <c r="J135" s="40">
        <f>Registro_OT!P121</f>
        <v>348070</v>
      </c>
      <c r="K135" t="str">
        <f>Registro_OT!Q121</f>
        <v>Recibida</v>
      </c>
      <c r="L135" t="str">
        <f>Registro_OT!R121</f>
        <v>FACT-3120</v>
      </c>
      <c r="M135" s="40">
        <f>Registro_OT!T121</f>
        <v>348070</v>
      </c>
      <c r="N135" s="41" t="str">
        <f>Registro_OT!W121</f>
        <v>CUADRADO (3-WAY OK)</v>
      </c>
      <c r="O135">
        <f>Registro_OT!AM121</f>
        <v>1</v>
      </c>
    </row>
    <row r="136" spans="2:15" x14ac:dyDescent="0.25">
      <c r="B136" t="str">
        <f>Registro_OT!A122</f>
        <v>OT-0121</v>
      </c>
      <c r="C136" t="str">
        <f>Registro_OT!B122</f>
        <v>CLI-013</v>
      </c>
      <c r="D136" t="str">
        <f>Registro_OT!C122</f>
        <v>FJGX-68</v>
      </c>
      <c r="E136" t="str">
        <f>Registro_OT!H122</f>
        <v>Cristian Araya</v>
      </c>
      <c r="F136" t="str">
        <f>Registro_OT!J122</f>
        <v>PRES-1121</v>
      </c>
      <c r="G136" s="40">
        <f>Registro_OT!L122</f>
        <v>255700</v>
      </c>
      <c r="H136" t="str">
        <f>Registro_OT!M122</f>
        <v>Aprobado</v>
      </c>
      <c r="I136" t="str">
        <f>Registro_OT!N122</f>
        <v>OC-5121</v>
      </c>
      <c r="J136" s="40">
        <f>Registro_OT!P122</f>
        <v>255700</v>
      </c>
      <c r="K136" t="str">
        <f>Registro_OT!Q122</f>
        <v>Recibida</v>
      </c>
      <c r="L136" t="str">
        <f>Registro_OT!R122</f>
        <v>FACT-3121</v>
      </c>
      <c r="M136" s="40">
        <f>Registro_OT!T122</f>
        <v>255700</v>
      </c>
      <c r="N136" s="41" t="str">
        <f>Registro_OT!W122</f>
        <v>CUADRADO (3-WAY OK)</v>
      </c>
      <c r="O136">
        <f>Registro_OT!AM122</f>
        <v>1</v>
      </c>
    </row>
    <row r="137" spans="2:15" x14ac:dyDescent="0.25">
      <c r="B137" t="str">
        <f>Registro_OT!A123</f>
        <v>OT-0122</v>
      </c>
      <c r="C137" t="str">
        <f>Registro_OT!B123</f>
        <v>CLI-009</v>
      </c>
      <c r="D137" t="str">
        <f>Registro_OT!C123</f>
        <v>WZPP-50</v>
      </c>
      <c r="E137" t="str">
        <f>Registro_OT!H123</f>
        <v>Cristian Araya</v>
      </c>
      <c r="F137" t="str">
        <f>Registro_OT!J123</f>
        <v>PRES-1122</v>
      </c>
      <c r="G137" s="40">
        <f>Registro_OT!L123</f>
        <v>519950</v>
      </c>
      <c r="H137" t="str">
        <f>Registro_OT!M123</f>
        <v>Aprobado</v>
      </c>
      <c r="I137" t="str">
        <f>Registro_OT!N123</f>
        <v>OC-5122</v>
      </c>
      <c r="J137" s="40">
        <f>Registro_OT!P123</f>
        <v>519950</v>
      </c>
      <c r="K137" t="str">
        <f>Registro_OT!Q123</f>
        <v>Recibida</v>
      </c>
      <c r="L137" t="str">
        <f>Registro_OT!R123</f>
        <v>FACT-3122</v>
      </c>
      <c r="M137" s="40">
        <f>Registro_OT!T123</f>
        <v>519950</v>
      </c>
      <c r="N137" s="41" t="str">
        <f>Registro_OT!W123</f>
        <v>CUADRADO (3-WAY OK)</v>
      </c>
      <c r="O137">
        <f>Registro_OT!AM123</f>
        <v>1</v>
      </c>
    </row>
    <row r="138" spans="2:15" x14ac:dyDescent="0.25">
      <c r="B138" t="str">
        <f>Registro_OT!A124</f>
        <v>OT-0123</v>
      </c>
      <c r="C138" t="str">
        <f>Registro_OT!B124</f>
        <v>CLI-005</v>
      </c>
      <c r="D138" t="str">
        <f>Registro_OT!C124</f>
        <v>PLBJ-28</v>
      </c>
      <c r="E138" t="str">
        <f>Registro_OT!H124</f>
        <v>Patricio Rojas</v>
      </c>
      <c r="F138" t="str">
        <f>Registro_OT!J124</f>
        <v>PRES-1123</v>
      </c>
      <c r="G138" s="40">
        <f>Registro_OT!L124</f>
        <v>1273510</v>
      </c>
      <c r="H138" t="str">
        <f>Registro_OT!M124</f>
        <v>Aprobado</v>
      </c>
      <c r="I138" t="str">
        <f>Registro_OT!N124</f>
        <v>OC-5123</v>
      </c>
      <c r="J138" s="40">
        <f>Registro_OT!P124</f>
        <v>1273510</v>
      </c>
      <c r="K138" t="str">
        <f>Registro_OT!Q124</f>
        <v>Recibida</v>
      </c>
      <c r="L138" t="str">
        <f>Registro_OT!R124</f>
        <v>FACT-3123</v>
      </c>
      <c r="M138" s="40">
        <f>Registro_OT!T124</f>
        <v>1273510</v>
      </c>
      <c r="N138" s="41" t="str">
        <f>Registro_OT!W124</f>
        <v>CUADRADO (3-WAY OK)</v>
      </c>
      <c r="O138">
        <f>Registro_OT!AM124</f>
        <v>1</v>
      </c>
    </row>
    <row r="139" spans="2:15" x14ac:dyDescent="0.25">
      <c r="B139" t="str">
        <f>Registro_OT!A125</f>
        <v>OT-0124</v>
      </c>
      <c r="C139" t="str">
        <f>Registro_OT!B125</f>
        <v>CLI-014</v>
      </c>
      <c r="D139" t="str">
        <f>Registro_OT!C125</f>
        <v>KYRV-58</v>
      </c>
      <c r="E139" t="str">
        <f>Registro_OT!H125</f>
        <v>Cristian Araya</v>
      </c>
      <c r="F139" t="str">
        <f>Registro_OT!J125</f>
        <v>PRES-1124</v>
      </c>
      <c r="G139" s="40">
        <f>Registro_OT!L125</f>
        <v>490360</v>
      </c>
      <c r="H139" t="str">
        <f>Registro_OT!M125</f>
        <v>Aprobado</v>
      </c>
      <c r="I139" t="str">
        <f>Registro_OT!N125</f>
        <v>OC-5124</v>
      </c>
      <c r="J139" s="40">
        <f>Registro_OT!P125</f>
        <v>490360</v>
      </c>
      <c r="K139" t="str">
        <f>Registro_OT!Q125</f>
        <v>Recibida</v>
      </c>
      <c r="L139" t="str">
        <f>Registro_OT!R125</f>
        <v>FACT-3124</v>
      </c>
      <c r="M139" s="40">
        <f>Registro_OT!T125</f>
        <v>490360</v>
      </c>
      <c r="N139" s="41" t="str">
        <f>Registro_OT!W125</f>
        <v>CUADRADO (3-WAY OK)</v>
      </c>
      <c r="O139">
        <f>Registro_OT!AM125</f>
        <v>1</v>
      </c>
    </row>
    <row r="140" spans="2:15" x14ac:dyDescent="0.25">
      <c r="B140" t="str">
        <f>Registro_OT!A126</f>
        <v>OT-0125</v>
      </c>
      <c r="C140" t="str">
        <f>Registro_OT!B126</f>
        <v>CLI-004</v>
      </c>
      <c r="D140" t="str">
        <f>Registro_OT!C126</f>
        <v>VVSP-84</v>
      </c>
      <c r="E140" t="str">
        <f>Registro_OT!H126</f>
        <v>Andrea Salinas</v>
      </c>
      <c r="F140" t="str">
        <f>Registro_OT!J126</f>
        <v>PRES-1125</v>
      </c>
      <c r="G140" s="40">
        <f>Registro_OT!L126</f>
        <v>278950</v>
      </c>
      <c r="H140" t="str">
        <f>Registro_OT!M126</f>
        <v>Aprobado</v>
      </c>
      <c r="I140" t="str">
        <f>Registro_OT!N126</f>
        <v>OC-5125</v>
      </c>
      <c r="J140" s="40">
        <f>Registro_OT!P126</f>
        <v>278950</v>
      </c>
      <c r="K140" t="str">
        <f>Registro_OT!Q126</f>
        <v>Recibida</v>
      </c>
      <c r="L140" t="str">
        <f>Registro_OT!R126</f>
        <v>FACT-3125</v>
      </c>
      <c r="M140" s="40">
        <f>Registro_OT!T126</f>
        <v>278950</v>
      </c>
      <c r="N140" s="41" t="str">
        <f>Registro_OT!W126</f>
        <v>CUADRADO (3-WAY OK)</v>
      </c>
      <c r="O140">
        <f>Registro_OT!AM126</f>
        <v>1</v>
      </c>
    </row>
    <row r="141" spans="2:15" x14ac:dyDescent="0.25">
      <c r="B141" t="str">
        <f>Registro_OT!A127</f>
        <v>OT-0126</v>
      </c>
      <c r="C141" t="str">
        <f>Registro_OT!B127</f>
        <v>CLI-007</v>
      </c>
      <c r="D141" t="str">
        <f>Registro_OT!C127</f>
        <v>BFVS-94</v>
      </c>
      <c r="E141" t="str">
        <f>Registro_OT!H127</f>
        <v>Sergio Valdés</v>
      </c>
      <c r="F141" t="str">
        <f>Registro_OT!J127</f>
        <v>PRES-1126</v>
      </c>
      <c r="G141" s="40">
        <f>Registro_OT!L127</f>
        <v>2829850</v>
      </c>
      <c r="H141" t="str">
        <f>Registro_OT!M127</f>
        <v>Aprobado</v>
      </c>
      <c r="I141" t="str">
        <f>Registro_OT!N127</f>
        <v>OC-5126</v>
      </c>
      <c r="J141" s="40">
        <f>Registro_OT!P127</f>
        <v>2829850</v>
      </c>
      <c r="K141" t="str">
        <f>Registro_OT!Q127</f>
        <v>Recibida</v>
      </c>
      <c r="L141" t="str">
        <f>Registro_OT!R127</f>
        <v>FACT-3126</v>
      </c>
      <c r="M141" s="40">
        <f>Registro_OT!T127</f>
        <v>2829850</v>
      </c>
      <c r="N141" s="41" t="str">
        <f>Registro_OT!W127</f>
        <v>CUADRADO (3-WAY OK)</v>
      </c>
      <c r="O141">
        <f>Registro_OT!AM127</f>
        <v>1</v>
      </c>
    </row>
    <row r="142" spans="2:15" x14ac:dyDescent="0.25">
      <c r="B142" t="str">
        <f>Registro_OT!A128</f>
        <v>OT-0127</v>
      </c>
      <c r="C142" t="str">
        <f>Registro_OT!B128</f>
        <v>CLI-007</v>
      </c>
      <c r="D142" t="str">
        <f>Registro_OT!C128</f>
        <v>LJLF-26</v>
      </c>
      <c r="E142" t="str">
        <f>Registro_OT!H128</f>
        <v>Patricio Rojas</v>
      </c>
      <c r="F142" t="str">
        <f>Registro_OT!J128</f>
        <v>PRES-1127</v>
      </c>
      <c r="G142" s="40">
        <f>Registro_OT!L128</f>
        <v>1222290</v>
      </c>
      <c r="H142" t="str">
        <f>Registro_OT!M128</f>
        <v>Aprobado</v>
      </c>
      <c r="I142" t="str">
        <f>Registro_OT!N128</f>
        <v>OC-5127</v>
      </c>
      <c r="J142" s="40">
        <f>Registro_OT!P128</f>
        <v>1222290</v>
      </c>
      <c r="K142" t="str">
        <f>Registro_OT!Q128</f>
        <v>Recibida</v>
      </c>
      <c r="L142" t="str">
        <f>Registro_OT!R128</f>
        <v>FACT-3127</v>
      </c>
      <c r="M142" s="40">
        <f>Registro_OT!T128</f>
        <v>1222290</v>
      </c>
      <c r="N142" s="41" t="str">
        <f>Registro_OT!W128</f>
        <v>CUADRADO (3-WAY OK)</v>
      </c>
      <c r="O142">
        <f>Registro_OT!AM128</f>
        <v>1</v>
      </c>
    </row>
    <row r="143" spans="2:15" x14ac:dyDescent="0.25">
      <c r="B143" t="str">
        <f>Registro_OT!A129</f>
        <v>OT-0128</v>
      </c>
      <c r="C143" t="str">
        <f>Registro_OT!B129</f>
        <v>CLI-010</v>
      </c>
      <c r="D143" t="str">
        <f>Registro_OT!C129</f>
        <v>HWXT-20</v>
      </c>
      <c r="E143" t="str">
        <f>Registro_OT!H129</f>
        <v>Marcelo Fuentes</v>
      </c>
      <c r="F143" t="str">
        <f>Registro_OT!J129</f>
        <v>PRES-1128</v>
      </c>
      <c r="G143" s="40">
        <f>Registro_OT!L129</f>
        <v>356140</v>
      </c>
      <c r="H143" t="str">
        <f>Registro_OT!M129</f>
        <v>Aprobado</v>
      </c>
      <c r="I143" t="str">
        <f>Registro_OT!N129</f>
        <v>OC-5128</v>
      </c>
      <c r="J143" s="40">
        <f>Registro_OT!P129</f>
        <v>356140</v>
      </c>
      <c r="K143" t="str">
        <f>Registro_OT!Q129</f>
        <v>Recibida</v>
      </c>
      <c r="L143" t="str">
        <f>Registro_OT!R129</f>
        <v>FACT-3128</v>
      </c>
      <c r="M143" s="40">
        <f>Registro_OT!T129</f>
        <v>356140</v>
      </c>
      <c r="N143" s="41" t="str">
        <f>Registro_OT!W129</f>
        <v>CUADRADO (3-WAY OK)</v>
      </c>
      <c r="O143">
        <f>Registro_OT!AM129</f>
        <v>1</v>
      </c>
    </row>
    <row r="144" spans="2:15" x14ac:dyDescent="0.25">
      <c r="B144" t="str">
        <f>Registro_OT!A130</f>
        <v>OT-0129</v>
      </c>
      <c r="C144" t="str">
        <f>Registro_OT!B130</f>
        <v>CLI-012</v>
      </c>
      <c r="D144" t="str">
        <f>Registro_OT!C130</f>
        <v>HVLT-33</v>
      </c>
      <c r="E144" t="str">
        <f>Registro_OT!H130</f>
        <v>Andrea Salinas</v>
      </c>
      <c r="F144" t="str">
        <f>Registro_OT!J130</f>
        <v>PRES-1129</v>
      </c>
      <c r="G144" s="40">
        <f>Registro_OT!L130</f>
        <v>312250</v>
      </c>
      <c r="H144" t="str">
        <f>Registro_OT!M130</f>
        <v>Aprobado</v>
      </c>
      <c r="I144" t="str">
        <f>Registro_OT!N130</f>
        <v>OC-5129</v>
      </c>
      <c r="J144" s="40">
        <f>Registro_OT!P130</f>
        <v>312250</v>
      </c>
      <c r="K144" t="str">
        <f>Registro_OT!Q130</f>
        <v>Recibida</v>
      </c>
      <c r="L144" t="str">
        <f>Registro_OT!R130</f>
        <v>FACT-3129</v>
      </c>
      <c r="M144" s="40">
        <f>Registro_OT!T130</f>
        <v>312250</v>
      </c>
      <c r="N144" s="41" t="str">
        <f>Registro_OT!W130</f>
        <v>CUADRADO (3-WAY OK)</v>
      </c>
      <c r="O144">
        <f>Registro_OT!AM130</f>
        <v>1</v>
      </c>
    </row>
    <row r="145" spans="2:15" x14ac:dyDescent="0.25">
      <c r="B145" t="str">
        <f>Registro_OT!A131</f>
        <v>OT-0130</v>
      </c>
      <c r="C145" t="str">
        <f>Registro_OT!B131</f>
        <v>CLI-001</v>
      </c>
      <c r="D145" t="str">
        <f>Registro_OT!C131</f>
        <v>YFDR-92</v>
      </c>
      <c r="E145" t="str">
        <f>Registro_OT!H131</f>
        <v>Marcelo Fuentes</v>
      </c>
      <c r="F145" t="str">
        <f>Registro_OT!J131</f>
        <v>PRES-1130</v>
      </c>
      <c r="G145" s="40">
        <f>Registro_OT!L131</f>
        <v>270630</v>
      </c>
      <c r="H145" t="str">
        <f>Registro_OT!M131</f>
        <v>Aprobado</v>
      </c>
      <c r="I145" t="str">
        <f>Registro_OT!N131</f>
        <v>OC-5130</v>
      </c>
      <c r="J145" s="40">
        <f>Registro_OT!P131</f>
        <v>270630</v>
      </c>
      <c r="K145" t="str">
        <f>Registro_OT!Q131</f>
        <v>Recibida</v>
      </c>
      <c r="L145" t="str">
        <f>Registro_OT!R131</f>
        <v>FACT-3130</v>
      </c>
      <c r="M145" s="40">
        <f>Registro_OT!T131</f>
        <v>270630</v>
      </c>
      <c r="N145" s="41" t="str">
        <f>Registro_OT!W131</f>
        <v>CUADRADO (3-WAY OK)</v>
      </c>
      <c r="O145">
        <f>Registro_OT!AM131</f>
        <v>1</v>
      </c>
    </row>
    <row r="146" spans="2:15" x14ac:dyDescent="0.25">
      <c r="B146" t="str">
        <f>Registro_OT!A132</f>
        <v>OT-0131</v>
      </c>
      <c r="C146" t="str">
        <f>Registro_OT!B132</f>
        <v>CLI-016</v>
      </c>
      <c r="D146" t="str">
        <f>Registro_OT!C132</f>
        <v>YVJC-14</v>
      </c>
      <c r="E146" t="str">
        <f>Registro_OT!H132</f>
        <v>Cristian Araya</v>
      </c>
      <c r="F146" t="str">
        <f>Registro_OT!J132</f>
        <v>PRES-1131</v>
      </c>
      <c r="G146" s="40">
        <f>Registro_OT!L132</f>
        <v>481250</v>
      </c>
      <c r="H146" t="str">
        <f>Registro_OT!M132</f>
        <v>Aprobado</v>
      </c>
      <c r="I146" t="str">
        <f>Registro_OT!N132</f>
        <v>OC-5131</v>
      </c>
      <c r="J146" s="40">
        <f>Registro_OT!P132</f>
        <v>481250</v>
      </c>
      <c r="K146" t="str">
        <f>Registro_OT!Q132</f>
        <v>Recibida</v>
      </c>
      <c r="L146" t="str">
        <f>Registro_OT!R132</f>
        <v>FACT-3131</v>
      </c>
      <c r="M146" s="40">
        <f>Registro_OT!T132</f>
        <v>481250</v>
      </c>
      <c r="N146" s="41" t="str">
        <f>Registro_OT!W132</f>
        <v>CUADRADO (3-WAY OK)</v>
      </c>
      <c r="O146">
        <f>Registro_OT!AM132</f>
        <v>1</v>
      </c>
    </row>
    <row r="147" spans="2:15" x14ac:dyDescent="0.25">
      <c r="B147" t="str">
        <f>Registro_OT!A133</f>
        <v>OT-0132</v>
      </c>
      <c r="C147" t="str">
        <f>Registro_OT!B133</f>
        <v>CLI-010</v>
      </c>
      <c r="D147" t="str">
        <f>Registro_OT!C133</f>
        <v>BBYC-90</v>
      </c>
      <c r="E147" t="str">
        <f>Registro_OT!H133</f>
        <v>Cristian Araya</v>
      </c>
      <c r="F147" t="str">
        <f>Registro_OT!J133</f>
        <v>PRES-1132</v>
      </c>
      <c r="G147" s="40">
        <f>Registro_OT!L133</f>
        <v>379320</v>
      </c>
      <c r="H147" t="str">
        <f>Registro_OT!M133</f>
        <v>Pendiente</v>
      </c>
      <c r="I147">
        <f>Registro_OT!N133</f>
        <v>0</v>
      </c>
      <c r="J147" s="40">
        <f>Registro_OT!P133</f>
        <v>0</v>
      </c>
      <c r="K147" t="str">
        <f>Registro_OT!Q133</f>
        <v>Sin OC</v>
      </c>
      <c r="L147">
        <f>Registro_OT!R133</f>
        <v>0</v>
      </c>
      <c r="M147" s="40">
        <f>Registro_OT!T133</f>
        <v>0</v>
      </c>
      <c r="N147" s="41" t="str">
        <f>Registro_OT!W133</f>
        <v>Presupuesto No Aprobado</v>
      </c>
      <c r="O147">
        <f>Registro_OT!AM133</f>
        <v>1</v>
      </c>
    </row>
    <row r="148" spans="2:15" x14ac:dyDescent="0.25">
      <c r="B148" t="str">
        <f>Registro_OT!A134</f>
        <v>OT-0133</v>
      </c>
      <c r="C148" t="str">
        <f>Registro_OT!B134</f>
        <v>CLI-008</v>
      </c>
      <c r="D148" t="str">
        <f>Registro_OT!C134</f>
        <v>TDKC-17</v>
      </c>
      <c r="E148" t="str">
        <f>Registro_OT!H134</f>
        <v>Marcelo Fuentes</v>
      </c>
      <c r="F148" t="str">
        <f>Registro_OT!J134</f>
        <v>PRES-1133</v>
      </c>
      <c r="G148" s="40">
        <f>Registro_OT!L134</f>
        <v>278780</v>
      </c>
      <c r="H148" t="str">
        <f>Registro_OT!M134</f>
        <v>Aprobado</v>
      </c>
      <c r="I148" t="str">
        <f>Registro_OT!N134</f>
        <v>OC-5133</v>
      </c>
      <c r="J148" s="40">
        <f>Registro_OT!P134</f>
        <v>278780</v>
      </c>
      <c r="K148" t="str">
        <f>Registro_OT!Q134</f>
        <v>Recibida</v>
      </c>
      <c r="L148" t="str">
        <f>Registro_OT!R134</f>
        <v>FACT-3133</v>
      </c>
      <c r="M148" s="40">
        <f>Registro_OT!T134</f>
        <v>278780</v>
      </c>
      <c r="N148" s="41" t="str">
        <f>Registro_OT!W134</f>
        <v>CUADRADO (3-WAY OK)</v>
      </c>
      <c r="O148">
        <f>Registro_OT!AM134</f>
        <v>1</v>
      </c>
    </row>
    <row r="149" spans="2:15" x14ac:dyDescent="0.25">
      <c r="B149" t="str">
        <f>Registro_OT!A135</f>
        <v>OT-0134</v>
      </c>
      <c r="C149" t="str">
        <f>Registro_OT!B135</f>
        <v>CLI-004</v>
      </c>
      <c r="D149" t="str">
        <f>Registro_OT!C135</f>
        <v>ZXHS-43</v>
      </c>
      <c r="E149" t="str">
        <f>Registro_OT!H135</f>
        <v>Luis Contreras</v>
      </c>
      <c r="F149" t="str">
        <f>Registro_OT!J135</f>
        <v>PRES-1134</v>
      </c>
      <c r="G149" s="40">
        <f>Registro_OT!L135</f>
        <v>777400</v>
      </c>
      <c r="H149" t="str">
        <f>Registro_OT!M135</f>
        <v>Aprobado</v>
      </c>
      <c r="I149" t="str">
        <f>Registro_OT!N135</f>
        <v>OC-5134</v>
      </c>
      <c r="J149" s="40">
        <f>Registro_OT!P135</f>
        <v>777400</v>
      </c>
      <c r="K149" t="str">
        <f>Registro_OT!Q135</f>
        <v>Recibida</v>
      </c>
      <c r="L149" t="str">
        <f>Registro_OT!R135</f>
        <v>FACT-3134</v>
      </c>
      <c r="M149" s="40">
        <f>Registro_OT!T135</f>
        <v>777400</v>
      </c>
      <c r="N149" s="41" t="str">
        <f>Registro_OT!W135</f>
        <v>CUADRADO (3-WAY OK)</v>
      </c>
      <c r="O149">
        <f>Registro_OT!AM135</f>
        <v>1</v>
      </c>
    </row>
    <row r="150" spans="2:15" x14ac:dyDescent="0.25">
      <c r="B150" t="str">
        <f>Registro_OT!A136</f>
        <v>OT-0135</v>
      </c>
      <c r="C150" t="str">
        <f>Registro_OT!B136</f>
        <v>CLI-016</v>
      </c>
      <c r="D150" t="str">
        <f>Registro_OT!C136</f>
        <v>YCSL-57</v>
      </c>
      <c r="E150" t="str">
        <f>Registro_OT!H136</f>
        <v>Daniela Mora</v>
      </c>
      <c r="F150" t="str">
        <f>Registro_OT!J136</f>
        <v>PRES-1135</v>
      </c>
      <c r="G150" s="40">
        <f>Registro_OT!L136</f>
        <v>1644620</v>
      </c>
      <c r="H150" t="str">
        <f>Registro_OT!M136</f>
        <v>Aprobado</v>
      </c>
      <c r="I150" t="str">
        <f>Registro_OT!N136</f>
        <v>OC-5135</v>
      </c>
      <c r="J150" s="40">
        <f>Registro_OT!P136</f>
        <v>1644620</v>
      </c>
      <c r="K150" t="str">
        <f>Registro_OT!Q136</f>
        <v>Recibida</v>
      </c>
      <c r="L150" t="str">
        <f>Registro_OT!R136</f>
        <v>FACT-3135</v>
      </c>
      <c r="M150" s="40">
        <f>Registro_OT!T136</f>
        <v>1644620</v>
      </c>
      <c r="N150" s="41" t="str">
        <f>Registro_OT!W136</f>
        <v>CUADRADO (3-WAY OK)</v>
      </c>
      <c r="O150">
        <f>Registro_OT!AM136</f>
        <v>1</v>
      </c>
    </row>
    <row r="151" spans="2:15" x14ac:dyDescent="0.25">
      <c r="B151" t="str">
        <f>Registro_OT!A137</f>
        <v>OT-0136</v>
      </c>
      <c r="C151" t="str">
        <f>Registro_OT!B137</f>
        <v>CLI-010</v>
      </c>
      <c r="D151" t="str">
        <f>Registro_OT!C137</f>
        <v>ZRXB-18</v>
      </c>
      <c r="E151" t="str">
        <f>Registro_OT!H137</f>
        <v>Marcelo Fuentes</v>
      </c>
      <c r="F151" t="str">
        <f>Registro_OT!J137</f>
        <v>PRES-1136</v>
      </c>
      <c r="G151" s="40">
        <f>Registro_OT!L137</f>
        <v>326600</v>
      </c>
      <c r="H151" t="str">
        <f>Registro_OT!M137</f>
        <v>Aprobado</v>
      </c>
      <c r="I151" t="str">
        <f>Registro_OT!N137</f>
        <v>OC-5136</v>
      </c>
      <c r="J151" s="40">
        <f>Registro_OT!P137</f>
        <v>326600</v>
      </c>
      <c r="K151" t="str">
        <f>Registro_OT!Q137</f>
        <v>Recibida</v>
      </c>
      <c r="L151" t="str">
        <f>Registro_OT!R137</f>
        <v>FACT-3136</v>
      </c>
      <c r="M151" s="40">
        <f>Registro_OT!T137</f>
        <v>326600</v>
      </c>
      <c r="N151" s="41" t="str">
        <f>Registro_OT!W137</f>
        <v>CUADRADO (3-WAY OK)</v>
      </c>
      <c r="O151">
        <f>Registro_OT!AM137</f>
        <v>1</v>
      </c>
    </row>
    <row r="152" spans="2:15" x14ac:dyDescent="0.25">
      <c r="B152" t="str">
        <f>Registro_OT!A138</f>
        <v>OT-0137</v>
      </c>
      <c r="C152" t="str">
        <f>Registro_OT!B138</f>
        <v>CLI-008</v>
      </c>
      <c r="D152" t="str">
        <f>Registro_OT!C138</f>
        <v>HZTY-87</v>
      </c>
      <c r="E152" t="str">
        <f>Registro_OT!H138</f>
        <v>Daniela Mora</v>
      </c>
      <c r="F152" t="str">
        <f>Registro_OT!J138</f>
        <v>PRES-1137</v>
      </c>
      <c r="G152" s="40">
        <f>Registro_OT!L138</f>
        <v>1033530</v>
      </c>
      <c r="H152" t="str">
        <f>Registro_OT!M138</f>
        <v>Aprobado</v>
      </c>
      <c r="I152" t="str">
        <f>Registro_OT!N138</f>
        <v>OC-5137</v>
      </c>
      <c r="J152" s="40">
        <f>Registro_OT!P138</f>
        <v>1033530</v>
      </c>
      <c r="K152" t="str">
        <f>Registro_OT!Q138</f>
        <v>Recibida</v>
      </c>
      <c r="L152">
        <f>Registro_OT!R138</f>
        <v>0</v>
      </c>
      <c r="M152" s="40">
        <f>Registro_OT!T138</f>
        <v>0</v>
      </c>
      <c r="N152" s="41" t="str">
        <f>Registro_OT!W138</f>
        <v>OC Recibida - Pendiente Factura</v>
      </c>
      <c r="O152">
        <f>Registro_OT!AM138</f>
        <v>1</v>
      </c>
    </row>
    <row r="153" spans="2:15" x14ac:dyDescent="0.25">
      <c r="B153" t="str">
        <f>Registro_OT!A139</f>
        <v>OT-0138</v>
      </c>
      <c r="C153" t="str">
        <f>Registro_OT!B139</f>
        <v>CLI-018</v>
      </c>
      <c r="D153" t="str">
        <f>Registro_OT!C139</f>
        <v>GFYJ-96</v>
      </c>
      <c r="E153" t="str">
        <f>Registro_OT!H139</f>
        <v>Sergio Valdés</v>
      </c>
      <c r="F153" t="str">
        <f>Registro_OT!J139</f>
        <v>PRES-1138</v>
      </c>
      <c r="G153" s="40">
        <f>Registro_OT!L139</f>
        <v>1503400</v>
      </c>
      <c r="H153" t="str">
        <f>Registro_OT!M139</f>
        <v>Aprobado</v>
      </c>
      <c r="I153" t="str">
        <f>Registro_OT!N139</f>
        <v>OC-5138</v>
      </c>
      <c r="J153" s="40">
        <f>Registro_OT!P139</f>
        <v>1503400</v>
      </c>
      <c r="K153" t="str">
        <f>Registro_OT!Q139</f>
        <v>Recibida</v>
      </c>
      <c r="L153" t="str">
        <f>Registro_OT!R139</f>
        <v>FACT-3138</v>
      </c>
      <c r="M153" s="40">
        <f>Registro_OT!T139</f>
        <v>1503400</v>
      </c>
      <c r="N153" s="41" t="str">
        <f>Registro_OT!W139</f>
        <v>CUADRADO (3-WAY OK)</v>
      </c>
      <c r="O153">
        <f>Registro_OT!AM139</f>
        <v>1</v>
      </c>
    </row>
    <row r="154" spans="2:15" x14ac:dyDescent="0.25">
      <c r="B154" t="str">
        <f>Registro_OT!A140</f>
        <v>OT-0139</v>
      </c>
      <c r="C154" t="str">
        <f>Registro_OT!B140</f>
        <v>CLI-008</v>
      </c>
      <c r="D154" t="str">
        <f>Registro_OT!C140</f>
        <v>FPVG-71</v>
      </c>
      <c r="E154" t="str">
        <f>Registro_OT!H140</f>
        <v>Daniela Mora</v>
      </c>
      <c r="F154" t="str">
        <f>Registro_OT!J140</f>
        <v>PRES-1139</v>
      </c>
      <c r="G154" s="40">
        <f>Registro_OT!L140</f>
        <v>1423380</v>
      </c>
      <c r="H154" t="str">
        <f>Registro_OT!M140</f>
        <v>Aprobado</v>
      </c>
      <c r="I154" t="str">
        <f>Registro_OT!N140</f>
        <v>OC-5139</v>
      </c>
      <c r="J154" s="40">
        <f>Registro_OT!P140</f>
        <v>1423380</v>
      </c>
      <c r="K154" t="str">
        <f>Registro_OT!Q140</f>
        <v>Recibida</v>
      </c>
      <c r="L154" t="str">
        <f>Registro_OT!R140</f>
        <v>FACT-3139</v>
      </c>
      <c r="M154" s="40">
        <f>Registro_OT!T140</f>
        <v>1423380</v>
      </c>
      <c r="N154" s="41" t="str">
        <f>Registro_OT!W140</f>
        <v>CUADRADO (3-WAY OK)</v>
      </c>
      <c r="O154">
        <f>Registro_OT!AM140</f>
        <v>1</v>
      </c>
    </row>
    <row r="155" spans="2:15" x14ac:dyDescent="0.25">
      <c r="B155" t="str">
        <f>Registro_OT!A141</f>
        <v>OT-0140</v>
      </c>
      <c r="C155" t="str">
        <f>Registro_OT!B141</f>
        <v>CLI-015</v>
      </c>
      <c r="D155" t="str">
        <f>Registro_OT!C141</f>
        <v>WTTD-78</v>
      </c>
      <c r="E155" t="str">
        <f>Registro_OT!H141</f>
        <v>Marcelo Fuentes</v>
      </c>
      <c r="F155" t="str">
        <f>Registro_OT!J141</f>
        <v>PRES-1140</v>
      </c>
      <c r="G155" s="40">
        <f>Registro_OT!L141</f>
        <v>1025380</v>
      </c>
      <c r="H155" t="str">
        <f>Registro_OT!M141</f>
        <v>Aprobado</v>
      </c>
      <c r="I155" t="str">
        <f>Registro_OT!N141</f>
        <v>OC-5140</v>
      </c>
      <c r="J155" s="40">
        <f>Registro_OT!P141</f>
        <v>1025380</v>
      </c>
      <c r="K155" t="str">
        <f>Registro_OT!Q141</f>
        <v>Recibida</v>
      </c>
      <c r="L155" t="str">
        <f>Registro_OT!R141</f>
        <v>FACT-3140</v>
      </c>
      <c r="M155" s="40">
        <f>Registro_OT!T141</f>
        <v>1025380</v>
      </c>
      <c r="N155" s="41" t="str">
        <f>Registro_OT!W141</f>
        <v>CUADRADO (3-WAY OK)</v>
      </c>
      <c r="O155">
        <f>Registro_OT!AM141</f>
        <v>1</v>
      </c>
    </row>
    <row r="156" spans="2:15" x14ac:dyDescent="0.25">
      <c r="B156" t="str">
        <f>Registro_OT!A142</f>
        <v>OT-0141</v>
      </c>
      <c r="C156" t="str">
        <f>Registro_OT!B142</f>
        <v>CLI-010</v>
      </c>
      <c r="D156" t="str">
        <f>Registro_OT!C142</f>
        <v>RWBB-77</v>
      </c>
      <c r="E156" t="str">
        <f>Registro_OT!H142</f>
        <v>Héctor Pizarro</v>
      </c>
      <c r="F156" t="str">
        <f>Registro_OT!J142</f>
        <v>PRES-1141</v>
      </c>
      <c r="G156" s="40">
        <f>Registro_OT!L142</f>
        <v>614480</v>
      </c>
      <c r="H156" t="str">
        <f>Registro_OT!M142</f>
        <v>Aprobado</v>
      </c>
      <c r="I156" t="str">
        <f>Registro_OT!N142</f>
        <v>OC-5141</v>
      </c>
      <c r="J156" s="40">
        <f>Registro_OT!P142</f>
        <v>614480</v>
      </c>
      <c r="K156" t="str">
        <f>Registro_OT!Q142</f>
        <v>Recibida</v>
      </c>
      <c r="L156" t="str">
        <f>Registro_OT!R142</f>
        <v>FACT-3141</v>
      </c>
      <c r="M156" s="40">
        <f>Registro_OT!T142</f>
        <v>614480</v>
      </c>
      <c r="N156" s="41" t="str">
        <f>Registro_OT!W142</f>
        <v>CUADRADO (3-WAY OK)</v>
      </c>
      <c r="O156">
        <f>Registro_OT!AM142</f>
        <v>1</v>
      </c>
    </row>
    <row r="157" spans="2:15" x14ac:dyDescent="0.25">
      <c r="B157" t="str">
        <f>Registro_OT!A143</f>
        <v>OT-0142</v>
      </c>
      <c r="C157" t="str">
        <f>Registro_OT!B143</f>
        <v>CLI-002</v>
      </c>
      <c r="D157" t="str">
        <f>Registro_OT!C143</f>
        <v>HLGK-16</v>
      </c>
      <c r="E157" t="str">
        <f>Registro_OT!H143</f>
        <v>Sergio Valdés</v>
      </c>
      <c r="F157" t="str">
        <f>Registro_OT!J143</f>
        <v>PRES-1142</v>
      </c>
      <c r="G157" s="40">
        <f>Registro_OT!L143</f>
        <v>1297960</v>
      </c>
      <c r="H157" t="str">
        <f>Registro_OT!M143</f>
        <v>Aprobado</v>
      </c>
      <c r="I157" t="str">
        <f>Registro_OT!N143</f>
        <v>OC-5142</v>
      </c>
      <c r="J157" s="40">
        <f>Registro_OT!P143</f>
        <v>1297960</v>
      </c>
      <c r="K157" t="str">
        <f>Registro_OT!Q143</f>
        <v>Recibida</v>
      </c>
      <c r="L157" t="str">
        <f>Registro_OT!R143</f>
        <v>FACT-3142</v>
      </c>
      <c r="M157" s="40">
        <f>Registro_OT!T143</f>
        <v>1297960</v>
      </c>
      <c r="N157" s="41" t="str">
        <f>Registro_OT!W143</f>
        <v>CUADRADO (3-WAY OK)</v>
      </c>
      <c r="O157">
        <f>Registro_OT!AM143</f>
        <v>1</v>
      </c>
    </row>
    <row r="158" spans="2:15" x14ac:dyDescent="0.25">
      <c r="B158" t="str">
        <f>Registro_OT!A144</f>
        <v>OT-0143</v>
      </c>
      <c r="C158" t="str">
        <f>Registro_OT!B144</f>
        <v>CLI-005</v>
      </c>
      <c r="D158" t="str">
        <f>Registro_OT!C144</f>
        <v>XHYT-63</v>
      </c>
      <c r="E158" t="str">
        <f>Registro_OT!H144</f>
        <v>Luis Contreras</v>
      </c>
      <c r="F158" t="str">
        <f>Registro_OT!J144</f>
        <v>PRES-1143</v>
      </c>
      <c r="G158" s="40">
        <f>Registro_OT!L144</f>
        <v>481890</v>
      </c>
      <c r="H158" t="str">
        <f>Registro_OT!M144</f>
        <v>Aprobado</v>
      </c>
      <c r="I158" t="str">
        <f>Registro_OT!N144</f>
        <v>OC-5143</v>
      </c>
      <c r="J158" s="40">
        <f>Registro_OT!P144</f>
        <v>481890</v>
      </c>
      <c r="K158" t="str">
        <f>Registro_OT!Q144</f>
        <v>Recibida</v>
      </c>
      <c r="L158" t="str">
        <f>Registro_OT!R144</f>
        <v>FACT-3143</v>
      </c>
      <c r="M158" s="40">
        <f>Registro_OT!T144</f>
        <v>481890</v>
      </c>
      <c r="N158" s="41" t="str">
        <f>Registro_OT!W144</f>
        <v>CUADRADO (3-WAY OK)</v>
      </c>
      <c r="O158">
        <f>Registro_OT!AM144</f>
        <v>1</v>
      </c>
    </row>
    <row r="159" spans="2:15" x14ac:dyDescent="0.25">
      <c r="B159" t="str">
        <f>Registro_OT!A145</f>
        <v>OT-0144</v>
      </c>
      <c r="C159" t="str">
        <f>Registro_OT!B145</f>
        <v>CLI-011</v>
      </c>
      <c r="D159" t="str">
        <f>Registro_OT!C145</f>
        <v>CXLP-69</v>
      </c>
      <c r="E159" t="str">
        <f>Registro_OT!H145</f>
        <v>Marcelo Fuentes</v>
      </c>
      <c r="F159" t="str">
        <f>Registro_OT!J145</f>
        <v>PRES-1144</v>
      </c>
      <c r="G159" s="40">
        <f>Registro_OT!L145</f>
        <v>388760</v>
      </c>
      <c r="H159" t="str">
        <f>Registro_OT!M145</f>
        <v>Aprobado</v>
      </c>
      <c r="I159" t="str">
        <f>Registro_OT!N145</f>
        <v>OC-5144</v>
      </c>
      <c r="J159" s="40">
        <f>Registro_OT!P145</f>
        <v>388760</v>
      </c>
      <c r="K159" t="str">
        <f>Registro_OT!Q145</f>
        <v>Recibida</v>
      </c>
      <c r="L159" t="str">
        <f>Registro_OT!R145</f>
        <v>FACT-3144</v>
      </c>
      <c r="M159" s="40">
        <f>Registro_OT!T145</f>
        <v>388760</v>
      </c>
      <c r="N159" s="41" t="str">
        <f>Registro_OT!W145</f>
        <v>CUADRADO (3-WAY OK)</v>
      </c>
      <c r="O159">
        <f>Registro_OT!AM145</f>
        <v>1</v>
      </c>
    </row>
    <row r="160" spans="2:15" x14ac:dyDescent="0.25">
      <c r="B160" t="str">
        <f>Registro_OT!A146</f>
        <v>OT-0145</v>
      </c>
      <c r="C160" t="str">
        <f>Registro_OT!B146</f>
        <v>CLI-015</v>
      </c>
      <c r="D160" t="str">
        <f>Registro_OT!C146</f>
        <v>XBKZ-17</v>
      </c>
      <c r="E160" t="str">
        <f>Registro_OT!H146</f>
        <v>Patricio Rojas</v>
      </c>
      <c r="F160" t="str">
        <f>Registro_OT!J146</f>
        <v>PRES-1145</v>
      </c>
      <c r="G160" s="40">
        <f>Registro_OT!L146</f>
        <v>984620</v>
      </c>
      <c r="H160" t="str">
        <f>Registro_OT!M146</f>
        <v>Aprobado</v>
      </c>
      <c r="I160" t="str">
        <f>Registro_OT!N146</f>
        <v>OC-5145</v>
      </c>
      <c r="J160" s="40">
        <f>Registro_OT!P146</f>
        <v>984620</v>
      </c>
      <c r="K160" t="str">
        <f>Registro_OT!Q146</f>
        <v>Recibida</v>
      </c>
      <c r="L160" t="str">
        <f>Registro_OT!R146</f>
        <v>FACT-3145</v>
      </c>
      <c r="M160" s="40">
        <f>Registro_OT!T146</f>
        <v>984620</v>
      </c>
      <c r="N160" s="41" t="str">
        <f>Registro_OT!W146</f>
        <v>CUADRADO (3-WAY OK)</v>
      </c>
      <c r="O160">
        <f>Registro_OT!AM146</f>
        <v>1</v>
      </c>
    </row>
    <row r="161" spans="2:15" x14ac:dyDescent="0.25">
      <c r="B161" t="str">
        <f>Registro_OT!A147</f>
        <v>OT-0146</v>
      </c>
      <c r="C161" t="str">
        <f>Registro_OT!B147</f>
        <v>CLI-005</v>
      </c>
      <c r="D161" t="str">
        <f>Registro_OT!C147</f>
        <v>BKPX-65</v>
      </c>
      <c r="E161" t="str">
        <f>Registro_OT!H147</f>
        <v>Patricio Rojas</v>
      </c>
      <c r="F161" t="str">
        <f>Registro_OT!J147</f>
        <v>PRES-1146</v>
      </c>
      <c r="G161" s="40">
        <f>Registro_OT!L147</f>
        <v>2689580</v>
      </c>
      <c r="H161" t="str">
        <f>Registro_OT!M147</f>
        <v>Aprobado</v>
      </c>
      <c r="I161" t="str">
        <f>Registro_OT!N147</f>
        <v>OC-5146</v>
      </c>
      <c r="J161" s="40">
        <f>Registro_OT!P147</f>
        <v>2689580</v>
      </c>
      <c r="K161" t="str">
        <f>Registro_OT!Q147</f>
        <v>Recibida</v>
      </c>
      <c r="L161" t="str">
        <f>Registro_OT!R147</f>
        <v>FACT-3146</v>
      </c>
      <c r="M161" s="40">
        <f>Registro_OT!T147</f>
        <v>2689580</v>
      </c>
      <c r="N161" s="41" t="str">
        <f>Registro_OT!W147</f>
        <v>CUADRADO (3-WAY OK)</v>
      </c>
      <c r="O161">
        <f>Registro_OT!AM147</f>
        <v>1</v>
      </c>
    </row>
    <row r="162" spans="2:15" x14ac:dyDescent="0.25">
      <c r="B162" t="str">
        <f>Registro_OT!A148</f>
        <v>OT-0147</v>
      </c>
      <c r="C162" t="str">
        <f>Registro_OT!B148</f>
        <v>CLI-011</v>
      </c>
      <c r="D162" t="str">
        <f>Registro_OT!C148</f>
        <v>LJBR-55</v>
      </c>
      <c r="E162" t="str">
        <f>Registro_OT!H148</f>
        <v>Héctor Pizarro</v>
      </c>
      <c r="F162" t="str">
        <f>Registro_OT!J148</f>
        <v>PRES-1147</v>
      </c>
      <c r="G162" s="40">
        <f>Registro_OT!L148</f>
        <v>225800</v>
      </c>
      <c r="H162" t="str">
        <f>Registro_OT!M148</f>
        <v>Aprobado</v>
      </c>
      <c r="I162" t="str">
        <f>Registro_OT!N148</f>
        <v>OC-5147</v>
      </c>
      <c r="J162" s="40">
        <f>Registro_OT!P148</f>
        <v>225800</v>
      </c>
      <c r="K162" t="str">
        <f>Registro_OT!Q148</f>
        <v>Recibida</v>
      </c>
      <c r="L162" t="str">
        <f>Registro_OT!R148</f>
        <v>FACT-3147</v>
      </c>
      <c r="M162" s="40">
        <f>Registro_OT!T148</f>
        <v>225800</v>
      </c>
      <c r="N162" s="41" t="str">
        <f>Registro_OT!W148</f>
        <v>CUADRADO (3-WAY OK)</v>
      </c>
      <c r="O162">
        <f>Registro_OT!AM148</f>
        <v>1</v>
      </c>
    </row>
    <row r="163" spans="2:15" x14ac:dyDescent="0.25">
      <c r="B163" t="str">
        <f>Registro_OT!A149</f>
        <v>OT-0148</v>
      </c>
      <c r="C163" t="str">
        <f>Registro_OT!B149</f>
        <v>CLI-014</v>
      </c>
      <c r="D163" t="str">
        <f>Registro_OT!C149</f>
        <v>VGKV-61</v>
      </c>
      <c r="E163" t="str">
        <f>Registro_OT!H149</f>
        <v>Cristian Araya</v>
      </c>
      <c r="F163" t="str">
        <f>Registro_OT!J149</f>
        <v>PRES-1148</v>
      </c>
      <c r="G163" s="40">
        <f>Registro_OT!L149</f>
        <v>186360</v>
      </c>
      <c r="H163" t="str">
        <f>Registro_OT!M149</f>
        <v>Aprobado</v>
      </c>
      <c r="I163" t="str">
        <f>Registro_OT!N149</f>
        <v>OC-5148</v>
      </c>
      <c r="J163" s="40">
        <f>Registro_OT!P149</f>
        <v>186360</v>
      </c>
      <c r="K163" t="str">
        <f>Registro_OT!Q149</f>
        <v>Recibida</v>
      </c>
      <c r="L163" t="str">
        <f>Registro_OT!R149</f>
        <v>FACT-3148</v>
      </c>
      <c r="M163" s="40">
        <f>Registro_OT!T149</f>
        <v>186360</v>
      </c>
      <c r="N163" s="41" t="str">
        <f>Registro_OT!W149</f>
        <v>CUADRADO (3-WAY OK)</v>
      </c>
      <c r="O163">
        <f>Registro_OT!AM149</f>
        <v>1</v>
      </c>
    </row>
    <row r="164" spans="2:15" x14ac:dyDescent="0.25">
      <c r="B164" t="str">
        <f>Registro_OT!A150</f>
        <v>OT-0149</v>
      </c>
      <c r="C164" t="str">
        <f>Registro_OT!B150</f>
        <v>CLI-013</v>
      </c>
      <c r="D164" t="str">
        <f>Registro_OT!C150</f>
        <v>WJKW-90</v>
      </c>
      <c r="E164" t="str">
        <f>Registro_OT!H150</f>
        <v>Daniela Mora</v>
      </c>
      <c r="F164" t="str">
        <f>Registro_OT!J150</f>
        <v>PRES-1149</v>
      </c>
      <c r="G164" s="40">
        <f>Registro_OT!L150</f>
        <v>2057220</v>
      </c>
      <c r="H164" t="str">
        <f>Registro_OT!M150</f>
        <v>Aprobado</v>
      </c>
      <c r="I164" t="str">
        <f>Registro_OT!N150</f>
        <v>OC-5149</v>
      </c>
      <c r="J164" s="40">
        <f>Registro_OT!P150</f>
        <v>2057220</v>
      </c>
      <c r="K164" t="str">
        <f>Registro_OT!Q150</f>
        <v>Recibida</v>
      </c>
      <c r="L164">
        <f>Registro_OT!R150</f>
        <v>0</v>
      </c>
      <c r="M164" s="40">
        <f>Registro_OT!T150</f>
        <v>0</v>
      </c>
      <c r="N164" s="41" t="str">
        <f>Registro_OT!W150</f>
        <v>OC Recibida - Pendiente Factura</v>
      </c>
      <c r="O164">
        <f>Registro_OT!AM150</f>
        <v>1</v>
      </c>
    </row>
    <row r="165" spans="2:15" x14ac:dyDescent="0.25">
      <c r="B165" t="str">
        <f>Registro_OT!A151</f>
        <v>OT-0150</v>
      </c>
      <c r="C165" t="str">
        <f>Registro_OT!B151</f>
        <v>CLI-012</v>
      </c>
      <c r="D165" t="str">
        <f>Registro_OT!C151</f>
        <v>BZZJ-88</v>
      </c>
      <c r="E165" t="str">
        <f>Registro_OT!H151</f>
        <v>Cristian Araya</v>
      </c>
      <c r="F165" t="str">
        <f>Registro_OT!J151</f>
        <v>PRES-1150</v>
      </c>
      <c r="G165" s="40">
        <f>Registro_OT!L151</f>
        <v>467850</v>
      </c>
      <c r="H165" t="str">
        <f>Registro_OT!M151</f>
        <v>Aprobado</v>
      </c>
      <c r="I165" t="str">
        <f>Registro_OT!N151</f>
        <v>OC-5150</v>
      </c>
      <c r="J165" s="40">
        <f>Registro_OT!P151</f>
        <v>467850</v>
      </c>
      <c r="K165" t="str">
        <f>Registro_OT!Q151</f>
        <v>Recibida</v>
      </c>
      <c r="L165" t="str">
        <f>Registro_OT!R151</f>
        <v>FACT-3150</v>
      </c>
      <c r="M165" s="40">
        <f>Registro_OT!T151</f>
        <v>467850</v>
      </c>
      <c r="N165" s="41" t="str">
        <f>Registro_OT!W151</f>
        <v>CUADRADO (3-WAY OK)</v>
      </c>
      <c r="O165">
        <f>Registro_OT!AM151</f>
        <v>1</v>
      </c>
    </row>
    <row r="166" spans="2:15" x14ac:dyDescent="0.25">
      <c r="B166" t="str">
        <f>Registro_OT!A152</f>
        <v>OT-0151</v>
      </c>
      <c r="C166" t="str">
        <f>Registro_OT!B152</f>
        <v>CLI-015</v>
      </c>
      <c r="D166" t="str">
        <f>Registro_OT!C152</f>
        <v>FHLX-25</v>
      </c>
      <c r="E166" t="str">
        <f>Registro_OT!H152</f>
        <v>Daniela Mora</v>
      </c>
      <c r="F166" t="str">
        <f>Registro_OT!J152</f>
        <v>PRES-1151</v>
      </c>
      <c r="G166" s="40">
        <f>Registro_OT!L152</f>
        <v>677470</v>
      </c>
      <c r="H166" t="str">
        <f>Registro_OT!M152</f>
        <v>Aprobado</v>
      </c>
      <c r="I166" t="str">
        <f>Registro_OT!N152</f>
        <v>OC-5151</v>
      </c>
      <c r="J166" s="40">
        <f>Registro_OT!P152</f>
        <v>677470</v>
      </c>
      <c r="K166" t="str">
        <f>Registro_OT!Q152</f>
        <v>Recibida</v>
      </c>
      <c r="L166" t="str">
        <f>Registro_OT!R152</f>
        <v>FACT-3151</v>
      </c>
      <c r="M166" s="40">
        <f>Registro_OT!T152</f>
        <v>677470</v>
      </c>
      <c r="N166" s="41" t="str">
        <f>Registro_OT!W152</f>
        <v>CUADRADO (3-WAY OK)</v>
      </c>
      <c r="O166">
        <f>Registro_OT!AM152</f>
        <v>1</v>
      </c>
    </row>
    <row r="167" spans="2:15" x14ac:dyDescent="0.25">
      <c r="B167" t="str">
        <f>Registro_OT!A153</f>
        <v>OT-0152</v>
      </c>
      <c r="C167" t="str">
        <f>Registro_OT!B153</f>
        <v>CLI-011</v>
      </c>
      <c r="D167" t="str">
        <f>Registro_OT!C153</f>
        <v>BWZZ-19</v>
      </c>
      <c r="E167" t="str">
        <f>Registro_OT!H153</f>
        <v>Marcelo Fuentes</v>
      </c>
      <c r="F167" t="str">
        <f>Registro_OT!J153</f>
        <v>PRES-1152</v>
      </c>
      <c r="G167" s="40">
        <f>Registro_OT!L153</f>
        <v>527150</v>
      </c>
      <c r="H167" t="str">
        <f>Registro_OT!M153</f>
        <v>Aprobado</v>
      </c>
      <c r="I167" t="str">
        <f>Registro_OT!N153</f>
        <v>OC-5152</v>
      </c>
      <c r="J167" s="40">
        <f>Registro_OT!P153</f>
        <v>527150</v>
      </c>
      <c r="K167" t="str">
        <f>Registro_OT!Q153</f>
        <v>Recibida</v>
      </c>
      <c r="L167" t="str">
        <f>Registro_OT!R153</f>
        <v>FACT-3152</v>
      </c>
      <c r="M167" s="40">
        <f>Registro_OT!T153</f>
        <v>527150</v>
      </c>
      <c r="N167" s="41" t="str">
        <f>Registro_OT!W153</f>
        <v>CUADRADO (3-WAY OK)</v>
      </c>
      <c r="O167">
        <f>Registro_OT!AM153</f>
        <v>1</v>
      </c>
    </row>
    <row r="168" spans="2:15" x14ac:dyDescent="0.25">
      <c r="B168" t="str">
        <f>Registro_OT!A154</f>
        <v>OT-0153</v>
      </c>
      <c r="C168" t="str">
        <f>Registro_OT!B154</f>
        <v>CLI-005</v>
      </c>
      <c r="D168" t="str">
        <f>Registro_OT!C154</f>
        <v>GSPR-86</v>
      </c>
      <c r="E168" t="str">
        <f>Registro_OT!H154</f>
        <v>Cristian Araya</v>
      </c>
      <c r="F168" t="str">
        <f>Registro_OT!J154</f>
        <v>PRES-1153</v>
      </c>
      <c r="G168" s="40">
        <f>Registro_OT!L154</f>
        <v>410480</v>
      </c>
      <c r="H168" t="str">
        <f>Registro_OT!M154</f>
        <v>Aprobado</v>
      </c>
      <c r="I168" t="str">
        <f>Registro_OT!N154</f>
        <v>OC-5153</v>
      </c>
      <c r="J168" s="40">
        <f>Registro_OT!P154</f>
        <v>410480</v>
      </c>
      <c r="K168" t="str">
        <f>Registro_OT!Q154</f>
        <v>Recibida</v>
      </c>
      <c r="L168" t="str">
        <f>Registro_OT!R154</f>
        <v>FACT-3153</v>
      </c>
      <c r="M168" s="40">
        <f>Registro_OT!T154</f>
        <v>410480</v>
      </c>
      <c r="N168" s="41" t="str">
        <f>Registro_OT!W154</f>
        <v>CUADRADO (3-WAY OK)</v>
      </c>
      <c r="O168">
        <f>Registro_OT!AM154</f>
        <v>1</v>
      </c>
    </row>
    <row r="169" spans="2:15" x14ac:dyDescent="0.25">
      <c r="B169" t="str">
        <f>Registro_OT!A155</f>
        <v>OT-0154</v>
      </c>
      <c r="C169" t="str">
        <f>Registro_OT!B155</f>
        <v>CLI-010</v>
      </c>
      <c r="D169" t="str">
        <f>Registro_OT!C155</f>
        <v>ZBCT-94</v>
      </c>
      <c r="E169" t="str">
        <f>Registro_OT!H155</f>
        <v>Luis Contreras</v>
      </c>
      <c r="F169" t="str">
        <f>Registro_OT!J155</f>
        <v>PRES-1154</v>
      </c>
      <c r="G169" s="40">
        <f>Registro_OT!L155</f>
        <v>180720</v>
      </c>
      <c r="H169" t="str">
        <f>Registro_OT!M155</f>
        <v>Aprobado</v>
      </c>
      <c r="I169" t="str">
        <f>Registro_OT!N155</f>
        <v>OC-5154</v>
      </c>
      <c r="J169" s="40">
        <f>Registro_OT!P155</f>
        <v>180720</v>
      </c>
      <c r="K169" t="str">
        <f>Registro_OT!Q155</f>
        <v>Recibida</v>
      </c>
      <c r="L169" t="str">
        <f>Registro_OT!R155</f>
        <v>FACT-3154</v>
      </c>
      <c r="M169" s="40">
        <f>Registro_OT!T155</f>
        <v>180720</v>
      </c>
      <c r="N169" s="41" t="str">
        <f>Registro_OT!W155</f>
        <v>CUADRADO (3-WAY OK)</v>
      </c>
      <c r="O169">
        <f>Registro_OT!AM155</f>
        <v>1</v>
      </c>
    </row>
    <row r="170" spans="2:15" x14ac:dyDescent="0.25">
      <c r="B170" t="str">
        <f>Registro_OT!A156</f>
        <v>OT-0155</v>
      </c>
      <c r="C170" t="str">
        <f>Registro_OT!B156</f>
        <v>CLI-013</v>
      </c>
      <c r="D170" t="str">
        <f>Registro_OT!C156</f>
        <v>TSJK-38</v>
      </c>
      <c r="E170" t="str">
        <f>Registro_OT!H156</f>
        <v>Andrea Salinas</v>
      </c>
      <c r="F170" t="str">
        <f>Registro_OT!J156</f>
        <v>PRES-1155</v>
      </c>
      <c r="G170" s="40">
        <f>Registro_OT!L156</f>
        <v>433740</v>
      </c>
      <c r="H170" t="str">
        <f>Registro_OT!M156</f>
        <v>Aprobado</v>
      </c>
      <c r="I170" t="str">
        <f>Registro_OT!N156</f>
        <v>OC-5155</v>
      </c>
      <c r="J170" s="40">
        <f>Registro_OT!P156</f>
        <v>433740</v>
      </c>
      <c r="K170" t="str">
        <f>Registro_OT!Q156</f>
        <v>Recibida</v>
      </c>
      <c r="L170" t="str">
        <f>Registro_OT!R156</f>
        <v>FACT-3155</v>
      </c>
      <c r="M170" s="40">
        <f>Registro_OT!T156</f>
        <v>433740</v>
      </c>
      <c r="N170" s="41" t="str">
        <f>Registro_OT!W156</f>
        <v>CUADRADO (3-WAY OK)</v>
      </c>
      <c r="O170">
        <f>Registro_OT!AM156</f>
        <v>1</v>
      </c>
    </row>
    <row r="171" spans="2:15" x14ac:dyDescent="0.25">
      <c r="B171" t="str">
        <f>Registro_OT!A157</f>
        <v>OT-0156</v>
      </c>
      <c r="C171" t="str">
        <f>Registro_OT!B157</f>
        <v>CLI-011</v>
      </c>
      <c r="D171" t="str">
        <f>Registro_OT!C157</f>
        <v>FZCL-44</v>
      </c>
      <c r="E171" t="str">
        <f>Registro_OT!H157</f>
        <v>Héctor Pizarro</v>
      </c>
      <c r="F171" t="str">
        <f>Registro_OT!J157</f>
        <v>PRES-1156</v>
      </c>
      <c r="G171" s="40">
        <f>Registro_OT!L157</f>
        <v>300500</v>
      </c>
      <c r="H171" t="str">
        <f>Registro_OT!M157</f>
        <v>Aprobado</v>
      </c>
      <c r="I171" t="str">
        <f>Registro_OT!N157</f>
        <v>OC-5156</v>
      </c>
      <c r="J171" s="40">
        <f>Registro_OT!P157</f>
        <v>300500</v>
      </c>
      <c r="K171" t="str">
        <f>Registro_OT!Q157</f>
        <v>Recibida</v>
      </c>
      <c r="L171" t="str">
        <f>Registro_OT!R157</f>
        <v>FACT-3156</v>
      </c>
      <c r="M171" s="40">
        <f>Registro_OT!T157</f>
        <v>300500</v>
      </c>
      <c r="N171" s="41" t="str">
        <f>Registro_OT!W157</f>
        <v>CUADRADO (3-WAY OK)</v>
      </c>
      <c r="O171">
        <f>Registro_OT!AM157</f>
        <v>1</v>
      </c>
    </row>
    <row r="172" spans="2:15" x14ac:dyDescent="0.25">
      <c r="B172" t="str">
        <f>Registro_OT!A158</f>
        <v>OT-0157</v>
      </c>
      <c r="C172" t="str">
        <f>Registro_OT!B158</f>
        <v>CLI-011</v>
      </c>
      <c r="D172" t="str">
        <f>Registro_OT!C158</f>
        <v>CXJY-38</v>
      </c>
      <c r="E172" t="str">
        <f>Registro_OT!H158</f>
        <v>Marcelo Fuentes</v>
      </c>
      <c r="F172" t="str">
        <f>Registro_OT!J158</f>
        <v>PRES-1157</v>
      </c>
      <c r="G172" s="40">
        <f>Registro_OT!L158</f>
        <v>740140</v>
      </c>
      <c r="H172" t="str">
        <f>Registro_OT!M158</f>
        <v>Aprobado</v>
      </c>
      <c r="I172" t="str">
        <f>Registro_OT!N158</f>
        <v>OC-5157</v>
      </c>
      <c r="J172" s="40">
        <f>Registro_OT!P158</f>
        <v>740140</v>
      </c>
      <c r="K172" t="str">
        <f>Registro_OT!Q158</f>
        <v>Recibida</v>
      </c>
      <c r="L172" t="str">
        <f>Registro_OT!R158</f>
        <v>FACT-3157</v>
      </c>
      <c r="M172" s="40">
        <f>Registro_OT!T158</f>
        <v>740140</v>
      </c>
      <c r="N172" s="41" t="str">
        <f>Registro_OT!W158</f>
        <v>CUADRADO (3-WAY OK)</v>
      </c>
      <c r="O172">
        <f>Registro_OT!AM158</f>
        <v>1</v>
      </c>
    </row>
    <row r="173" spans="2:15" x14ac:dyDescent="0.25">
      <c r="B173" t="str">
        <f>Registro_OT!A159</f>
        <v>OT-0158</v>
      </c>
      <c r="C173" t="str">
        <f>Registro_OT!B159</f>
        <v>CLI-015</v>
      </c>
      <c r="D173" t="str">
        <f>Registro_OT!C159</f>
        <v>RDYX-86</v>
      </c>
      <c r="E173" t="str">
        <f>Registro_OT!H159</f>
        <v>Cristian Araya</v>
      </c>
      <c r="F173" t="str">
        <f>Registro_OT!J159</f>
        <v>PRES-1158</v>
      </c>
      <c r="G173" s="40">
        <f>Registro_OT!L159</f>
        <v>678000</v>
      </c>
      <c r="H173" t="str">
        <f>Registro_OT!M159</f>
        <v>Aprobado</v>
      </c>
      <c r="I173" t="str">
        <f>Registro_OT!N159</f>
        <v>OC-5158</v>
      </c>
      <c r="J173" s="40">
        <f>Registro_OT!P159</f>
        <v>678000</v>
      </c>
      <c r="K173" t="str">
        <f>Registro_OT!Q159</f>
        <v>Recibida</v>
      </c>
      <c r="L173" t="str">
        <f>Registro_OT!R159</f>
        <v>FACT-3158</v>
      </c>
      <c r="M173" s="40">
        <f>Registro_OT!T159</f>
        <v>678000</v>
      </c>
      <c r="N173" s="41" t="str">
        <f>Registro_OT!W159</f>
        <v>CUADRADO (3-WAY OK)</v>
      </c>
      <c r="O173">
        <f>Registro_OT!AM159</f>
        <v>1</v>
      </c>
    </row>
    <row r="174" spans="2:15" x14ac:dyDescent="0.25">
      <c r="B174" t="str">
        <f>Registro_OT!A160</f>
        <v>OT-0159</v>
      </c>
      <c r="C174" t="str">
        <f>Registro_OT!B160</f>
        <v>CLI-001</v>
      </c>
      <c r="D174" t="str">
        <f>Registro_OT!C160</f>
        <v>HHSL-48</v>
      </c>
      <c r="E174" t="str">
        <f>Registro_OT!H160</f>
        <v>Daniela Mora</v>
      </c>
      <c r="F174" t="str">
        <f>Registro_OT!J160</f>
        <v>PRES-1159</v>
      </c>
      <c r="G174" s="40">
        <f>Registro_OT!L160</f>
        <v>1106980</v>
      </c>
      <c r="H174" t="str">
        <f>Registro_OT!M160</f>
        <v>Aprobado</v>
      </c>
      <c r="I174" t="str">
        <f>Registro_OT!N160</f>
        <v>OC-5159</v>
      </c>
      <c r="J174" s="40">
        <f>Registro_OT!P160</f>
        <v>1106980</v>
      </c>
      <c r="K174" t="str">
        <f>Registro_OT!Q160</f>
        <v>Recibida</v>
      </c>
      <c r="L174">
        <f>Registro_OT!R160</f>
        <v>0</v>
      </c>
      <c r="M174" s="40">
        <f>Registro_OT!T160</f>
        <v>0</v>
      </c>
      <c r="N174" s="41" t="str">
        <f>Registro_OT!W160</f>
        <v>OC Recibida - Pendiente Factura</v>
      </c>
      <c r="O174">
        <f>Registro_OT!AM160</f>
        <v>1</v>
      </c>
    </row>
    <row r="175" spans="2:15" x14ac:dyDescent="0.25">
      <c r="B175" t="str">
        <f>Registro_OT!A161</f>
        <v>OT-0160</v>
      </c>
      <c r="C175" t="str">
        <f>Registro_OT!B161</f>
        <v>CLI-015</v>
      </c>
      <c r="D175" t="str">
        <f>Registro_OT!C161</f>
        <v>TLDR-88</v>
      </c>
      <c r="E175" t="str">
        <f>Registro_OT!H161</f>
        <v>Héctor Pizarro</v>
      </c>
      <c r="F175" t="str">
        <f>Registro_OT!J161</f>
        <v>PRES-1160</v>
      </c>
      <c r="G175" s="40">
        <f>Registro_OT!L161</f>
        <v>399330</v>
      </c>
      <c r="H175" t="str">
        <f>Registro_OT!M161</f>
        <v>Aprobado</v>
      </c>
      <c r="I175" t="str">
        <f>Registro_OT!N161</f>
        <v>OC-5160</v>
      </c>
      <c r="J175" s="40">
        <f>Registro_OT!P161</f>
        <v>399330</v>
      </c>
      <c r="K175" t="str">
        <f>Registro_OT!Q161</f>
        <v>Recibida</v>
      </c>
      <c r="L175" t="str">
        <f>Registro_OT!R161</f>
        <v>FACT-3160</v>
      </c>
      <c r="M175" s="40">
        <f>Registro_OT!T161</f>
        <v>399330</v>
      </c>
      <c r="N175" s="41" t="str">
        <f>Registro_OT!W161</f>
        <v>CUADRADO (3-WAY OK)</v>
      </c>
      <c r="O175">
        <f>Registro_OT!AM161</f>
        <v>1</v>
      </c>
    </row>
    <row r="176" spans="2:15" x14ac:dyDescent="0.25">
      <c r="B176" t="str">
        <f>Registro_OT!A162</f>
        <v>OT-0161</v>
      </c>
      <c r="C176" t="str">
        <f>Registro_OT!B162</f>
        <v>CLI-017</v>
      </c>
      <c r="D176" t="str">
        <f>Registro_OT!C162</f>
        <v>LZCD-12</v>
      </c>
      <c r="E176" t="str">
        <f>Registro_OT!H162</f>
        <v>Sergio Valdés</v>
      </c>
      <c r="F176" t="str">
        <f>Registro_OT!J162</f>
        <v>PRES-1161</v>
      </c>
      <c r="G176" s="40">
        <f>Registro_OT!L162</f>
        <v>1230830</v>
      </c>
      <c r="H176" t="str">
        <f>Registro_OT!M162</f>
        <v>Aprobado</v>
      </c>
      <c r="I176" t="str">
        <f>Registro_OT!N162</f>
        <v>OC-5161</v>
      </c>
      <c r="J176" s="40">
        <f>Registro_OT!P162</f>
        <v>1230830</v>
      </c>
      <c r="K176" t="str">
        <f>Registro_OT!Q162</f>
        <v>Recibida</v>
      </c>
      <c r="L176" t="str">
        <f>Registro_OT!R162</f>
        <v>FACT-3161</v>
      </c>
      <c r="M176" s="40">
        <f>Registro_OT!T162</f>
        <v>1230830</v>
      </c>
      <c r="N176" s="41" t="str">
        <f>Registro_OT!W162</f>
        <v>CUADRADO (3-WAY OK)</v>
      </c>
      <c r="O176">
        <f>Registro_OT!AM162</f>
        <v>1</v>
      </c>
    </row>
    <row r="177" spans="2:15" x14ac:dyDescent="0.25">
      <c r="B177" t="str">
        <f>Registro_OT!A163</f>
        <v>OT-0162</v>
      </c>
      <c r="C177" t="str">
        <f>Registro_OT!B163</f>
        <v>CLI-012</v>
      </c>
      <c r="D177" t="str">
        <f>Registro_OT!C163</f>
        <v>VFZR-14</v>
      </c>
      <c r="E177" t="str">
        <f>Registro_OT!H163</f>
        <v>Marcelo Fuentes</v>
      </c>
      <c r="F177" t="str">
        <f>Registro_OT!J163</f>
        <v>PRES-1162</v>
      </c>
      <c r="G177" s="40">
        <f>Registro_OT!L163</f>
        <v>207390</v>
      </c>
      <c r="H177" t="str">
        <f>Registro_OT!M163</f>
        <v>Aprobado</v>
      </c>
      <c r="I177" t="str">
        <f>Registro_OT!N163</f>
        <v>OC-5162</v>
      </c>
      <c r="J177" s="40">
        <f>Registro_OT!P163</f>
        <v>207390</v>
      </c>
      <c r="K177" t="str">
        <f>Registro_OT!Q163</f>
        <v>Recibida</v>
      </c>
      <c r="L177" t="str">
        <f>Registro_OT!R163</f>
        <v>FACT-3162</v>
      </c>
      <c r="M177" s="40">
        <f>Registro_OT!T163</f>
        <v>207390</v>
      </c>
      <c r="N177" s="41" t="str">
        <f>Registro_OT!W163</f>
        <v>CUADRADO (3-WAY OK)</v>
      </c>
      <c r="O177">
        <f>Registro_OT!AM163</f>
        <v>1</v>
      </c>
    </row>
    <row r="178" spans="2:15" x14ac:dyDescent="0.25">
      <c r="B178" t="str">
        <f>Registro_OT!A164</f>
        <v>OT-0163</v>
      </c>
      <c r="C178" t="str">
        <f>Registro_OT!B164</f>
        <v>CLI-012</v>
      </c>
      <c r="D178" t="str">
        <f>Registro_OT!C164</f>
        <v>GPZC-44</v>
      </c>
      <c r="E178" t="str">
        <f>Registro_OT!H164</f>
        <v>Luis Contreras</v>
      </c>
      <c r="F178" t="str">
        <f>Registro_OT!J164</f>
        <v>PRES-1163</v>
      </c>
      <c r="G178" s="40">
        <f>Registro_OT!L164</f>
        <v>480250</v>
      </c>
      <c r="H178" t="str">
        <f>Registro_OT!M164</f>
        <v>Aprobado</v>
      </c>
      <c r="I178" t="str">
        <f>Registro_OT!N164</f>
        <v>OC-5163</v>
      </c>
      <c r="J178" s="40">
        <f>Registro_OT!P164</f>
        <v>480250</v>
      </c>
      <c r="K178" t="str">
        <f>Registro_OT!Q164</f>
        <v>Recibida</v>
      </c>
      <c r="L178" t="str">
        <f>Registro_OT!R164</f>
        <v>FACT-3163</v>
      </c>
      <c r="M178" s="40">
        <f>Registro_OT!T164</f>
        <v>480250</v>
      </c>
      <c r="N178" s="41" t="str">
        <f>Registro_OT!W164</f>
        <v>CUADRADO (3-WAY OK)</v>
      </c>
      <c r="O178">
        <f>Registro_OT!AM164</f>
        <v>1</v>
      </c>
    </row>
    <row r="179" spans="2:15" x14ac:dyDescent="0.25">
      <c r="B179" t="str">
        <f>Registro_OT!A165</f>
        <v>OT-0164</v>
      </c>
      <c r="C179" t="str">
        <f>Registro_OT!B165</f>
        <v>CLI-014</v>
      </c>
      <c r="D179" t="str">
        <f>Registro_OT!C165</f>
        <v>DJYW-22</v>
      </c>
      <c r="E179" t="str">
        <f>Registro_OT!H165</f>
        <v>Daniela Mora</v>
      </c>
      <c r="F179" t="str">
        <f>Registro_OT!J165</f>
        <v>PRES-1164</v>
      </c>
      <c r="G179" s="40">
        <f>Registro_OT!L165</f>
        <v>1927800</v>
      </c>
      <c r="H179" t="str">
        <f>Registro_OT!M165</f>
        <v>Aprobado</v>
      </c>
      <c r="I179" t="str">
        <f>Registro_OT!N165</f>
        <v>OC-5164</v>
      </c>
      <c r="J179" s="40">
        <f>Registro_OT!P165</f>
        <v>1927800</v>
      </c>
      <c r="K179" t="str">
        <f>Registro_OT!Q165</f>
        <v>Recibida</v>
      </c>
      <c r="L179" t="str">
        <f>Registro_OT!R165</f>
        <v>FACT-3164</v>
      </c>
      <c r="M179" s="40">
        <f>Registro_OT!T165</f>
        <v>1927800</v>
      </c>
      <c r="N179" s="41" t="str">
        <f>Registro_OT!W165</f>
        <v>CUADRADO (3-WAY OK)</v>
      </c>
      <c r="O179">
        <f>Registro_OT!AM165</f>
        <v>1</v>
      </c>
    </row>
    <row r="180" spans="2:15" x14ac:dyDescent="0.25">
      <c r="B180" t="str">
        <f>Registro_OT!A166</f>
        <v>OT-0165</v>
      </c>
      <c r="C180" t="str">
        <f>Registro_OT!B166</f>
        <v>CLI-011</v>
      </c>
      <c r="D180" t="str">
        <f>Registro_OT!C166</f>
        <v>SKSX-53</v>
      </c>
      <c r="E180" t="str">
        <f>Registro_OT!H166</f>
        <v>Luis Contreras</v>
      </c>
      <c r="F180" t="str">
        <f>Registro_OT!J166</f>
        <v>PRES-1165</v>
      </c>
      <c r="G180" s="40">
        <f>Registro_OT!L166</f>
        <v>133430</v>
      </c>
      <c r="H180" t="str">
        <f>Registro_OT!M166</f>
        <v>Aprobado</v>
      </c>
      <c r="I180" t="str">
        <f>Registro_OT!N166</f>
        <v>OC-5165</v>
      </c>
      <c r="J180" s="40">
        <f>Registro_OT!P166</f>
        <v>133430</v>
      </c>
      <c r="K180" t="str">
        <f>Registro_OT!Q166</f>
        <v>Recibida</v>
      </c>
      <c r="L180">
        <f>Registro_OT!R166</f>
        <v>0</v>
      </c>
      <c r="M180" s="40">
        <f>Registro_OT!T166</f>
        <v>0</v>
      </c>
      <c r="N180" s="41" t="str">
        <f>Registro_OT!W166</f>
        <v>OC Recibida - Pendiente Factura</v>
      </c>
      <c r="O180">
        <f>Registro_OT!AM166</f>
        <v>1</v>
      </c>
    </row>
    <row r="181" spans="2:15" x14ac:dyDescent="0.25">
      <c r="B181" t="str">
        <f>Registro_OT!A167</f>
        <v>OT-0166</v>
      </c>
      <c r="C181" t="str">
        <f>Registro_OT!B167</f>
        <v>CLI-004</v>
      </c>
      <c r="D181" t="str">
        <f>Registro_OT!C167</f>
        <v>GYTH-65</v>
      </c>
      <c r="E181" t="str">
        <f>Registro_OT!H167</f>
        <v>Marcelo Fuentes</v>
      </c>
      <c r="F181" t="str">
        <f>Registro_OT!J167</f>
        <v>PRES-1166</v>
      </c>
      <c r="G181" s="40">
        <f>Registro_OT!L167</f>
        <v>463170</v>
      </c>
      <c r="H181" t="str">
        <f>Registro_OT!M167</f>
        <v>Aprobado</v>
      </c>
      <c r="I181" t="str">
        <f>Registro_OT!N167</f>
        <v>OC-5166</v>
      </c>
      <c r="J181" s="40">
        <f>Registro_OT!P167</f>
        <v>463170</v>
      </c>
      <c r="K181" t="str">
        <f>Registro_OT!Q167</f>
        <v>Recibida</v>
      </c>
      <c r="L181" t="str">
        <f>Registro_OT!R167</f>
        <v>FACT-3166</v>
      </c>
      <c r="M181" s="40">
        <f>Registro_OT!T167</f>
        <v>463170</v>
      </c>
      <c r="N181" s="41" t="str">
        <f>Registro_OT!W167</f>
        <v>CUADRADO (3-WAY OK)</v>
      </c>
      <c r="O181">
        <f>Registro_OT!AM167</f>
        <v>1</v>
      </c>
    </row>
    <row r="182" spans="2:15" x14ac:dyDescent="0.25">
      <c r="B182" t="str">
        <f>Registro_OT!A168</f>
        <v>OT-0167</v>
      </c>
      <c r="C182" t="str">
        <f>Registro_OT!B168</f>
        <v>CLI-014</v>
      </c>
      <c r="D182" t="str">
        <f>Registro_OT!C168</f>
        <v>JBSB-61</v>
      </c>
      <c r="E182" t="str">
        <f>Registro_OT!H168</f>
        <v>Marcelo Fuentes</v>
      </c>
      <c r="F182" t="str">
        <f>Registro_OT!J168</f>
        <v>PRES-1167</v>
      </c>
      <c r="G182" s="40">
        <f>Registro_OT!L168</f>
        <v>735130</v>
      </c>
      <c r="H182" t="str">
        <f>Registro_OT!M168</f>
        <v>Aprobado</v>
      </c>
      <c r="I182" t="str">
        <f>Registro_OT!N168</f>
        <v>OC-5167</v>
      </c>
      <c r="J182" s="40">
        <f>Registro_OT!P168</f>
        <v>735130</v>
      </c>
      <c r="K182" t="str">
        <f>Registro_OT!Q168</f>
        <v>Recibida</v>
      </c>
      <c r="L182">
        <f>Registro_OT!R168</f>
        <v>0</v>
      </c>
      <c r="M182" s="40">
        <f>Registro_OT!T168</f>
        <v>0</v>
      </c>
      <c r="N182" s="41" t="str">
        <f>Registro_OT!W168</f>
        <v>OC Recibida - Pendiente Factura</v>
      </c>
      <c r="O182">
        <f>Registro_OT!AM168</f>
        <v>1</v>
      </c>
    </row>
    <row r="183" spans="2:15" x14ac:dyDescent="0.25">
      <c r="B183" t="str">
        <f>Registro_OT!A169</f>
        <v>OT-0168</v>
      </c>
      <c r="C183" t="str">
        <f>Registro_OT!B169</f>
        <v>CLI-017</v>
      </c>
      <c r="D183" t="str">
        <f>Registro_OT!C169</f>
        <v>TKDY-30</v>
      </c>
      <c r="E183" t="str">
        <f>Registro_OT!H169</f>
        <v>Cristian Araya</v>
      </c>
      <c r="F183" t="str">
        <f>Registro_OT!J169</f>
        <v>PRES-1168</v>
      </c>
      <c r="G183" s="40">
        <f>Registro_OT!L169</f>
        <v>195440</v>
      </c>
      <c r="H183" t="str">
        <f>Registro_OT!M169</f>
        <v>Aprobado</v>
      </c>
      <c r="I183" t="str">
        <f>Registro_OT!N169</f>
        <v>OC-5168</v>
      </c>
      <c r="J183" s="40">
        <f>Registro_OT!P169</f>
        <v>195440</v>
      </c>
      <c r="K183" t="str">
        <f>Registro_OT!Q169</f>
        <v>Recibida</v>
      </c>
      <c r="L183" t="str">
        <f>Registro_OT!R169</f>
        <v>FACT-3168</v>
      </c>
      <c r="M183" s="40">
        <f>Registro_OT!T169</f>
        <v>195440</v>
      </c>
      <c r="N183" s="41" t="str">
        <f>Registro_OT!W169</f>
        <v>CUADRADO (3-WAY OK)</v>
      </c>
      <c r="O183">
        <f>Registro_OT!AM169</f>
        <v>1</v>
      </c>
    </row>
    <row r="184" spans="2:15" x14ac:dyDescent="0.25">
      <c r="B184" t="str">
        <f>Registro_OT!A170</f>
        <v>OT-0169</v>
      </c>
      <c r="C184" t="str">
        <f>Registro_OT!B170</f>
        <v>CLI-012</v>
      </c>
      <c r="D184" t="str">
        <f>Registro_OT!C170</f>
        <v>SFBJ-83</v>
      </c>
      <c r="E184" t="str">
        <f>Registro_OT!H170</f>
        <v>Luis Contreras</v>
      </c>
      <c r="F184" t="str">
        <f>Registro_OT!J170</f>
        <v>PRES-1169</v>
      </c>
      <c r="G184" s="40">
        <f>Registro_OT!L170</f>
        <v>362670</v>
      </c>
      <c r="H184" t="str">
        <f>Registro_OT!M170</f>
        <v>Aprobado</v>
      </c>
      <c r="I184" t="str">
        <f>Registro_OT!N170</f>
        <v>OC-5169</v>
      </c>
      <c r="J184" s="40">
        <f>Registro_OT!P170</f>
        <v>362670</v>
      </c>
      <c r="K184" t="str">
        <f>Registro_OT!Q170</f>
        <v>Recibida</v>
      </c>
      <c r="L184">
        <f>Registro_OT!R170</f>
        <v>0</v>
      </c>
      <c r="M184" s="40">
        <f>Registro_OT!T170</f>
        <v>0</v>
      </c>
      <c r="N184" s="41" t="str">
        <f>Registro_OT!W170</f>
        <v>OC Recibida - Pendiente Factura</v>
      </c>
      <c r="O184">
        <f>Registro_OT!AM170</f>
        <v>1</v>
      </c>
    </row>
    <row r="185" spans="2:15" x14ac:dyDescent="0.25">
      <c r="B185" t="str">
        <f>Registro_OT!A171</f>
        <v>OT-0170</v>
      </c>
      <c r="C185" t="str">
        <f>Registro_OT!B171</f>
        <v>CLI-010</v>
      </c>
      <c r="D185" t="str">
        <f>Registro_OT!C171</f>
        <v>CPFF-45</v>
      </c>
      <c r="E185" t="str">
        <f>Registro_OT!H171</f>
        <v>Cristian Araya</v>
      </c>
      <c r="F185" t="str">
        <f>Registro_OT!J171</f>
        <v>PRES-1170</v>
      </c>
      <c r="G185" s="40">
        <f>Registro_OT!L171</f>
        <v>461560</v>
      </c>
      <c r="H185" t="str">
        <f>Registro_OT!M171</f>
        <v>Aprobado</v>
      </c>
      <c r="I185" t="str">
        <f>Registro_OT!N171</f>
        <v>OC-5170</v>
      </c>
      <c r="J185" s="40">
        <f>Registro_OT!P171</f>
        <v>461560</v>
      </c>
      <c r="K185" t="str">
        <f>Registro_OT!Q171</f>
        <v>Recibida</v>
      </c>
      <c r="L185" t="str">
        <f>Registro_OT!R171</f>
        <v>FACT-3170</v>
      </c>
      <c r="M185" s="40">
        <f>Registro_OT!T171</f>
        <v>461560</v>
      </c>
      <c r="N185" s="41" t="str">
        <f>Registro_OT!W171</f>
        <v>CUADRADO (3-WAY OK)</v>
      </c>
      <c r="O185">
        <f>Registro_OT!AM171</f>
        <v>1</v>
      </c>
    </row>
    <row r="186" spans="2:15" x14ac:dyDescent="0.25">
      <c r="B186" t="str">
        <f>Registro_OT!A172</f>
        <v>OT-0171</v>
      </c>
      <c r="C186" t="str">
        <f>Registro_OT!B172</f>
        <v>CLI-016</v>
      </c>
      <c r="D186" t="str">
        <f>Registro_OT!C172</f>
        <v>SPJG-50</v>
      </c>
      <c r="E186" t="str">
        <f>Registro_OT!H172</f>
        <v>Marcelo Fuentes</v>
      </c>
      <c r="F186" t="str">
        <f>Registro_OT!J172</f>
        <v>PRES-1171</v>
      </c>
      <c r="G186" s="40">
        <f>Registro_OT!L172</f>
        <v>188640</v>
      </c>
      <c r="H186" t="str">
        <f>Registro_OT!M172</f>
        <v>Aprobado</v>
      </c>
      <c r="I186">
        <f>Registro_OT!N172</f>
        <v>0</v>
      </c>
      <c r="J186" s="40">
        <f>Registro_OT!P172</f>
        <v>0</v>
      </c>
      <c r="K186" t="str">
        <f>Registro_OT!Q172</f>
        <v>Pendiente Emisión Mandante</v>
      </c>
      <c r="L186">
        <f>Registro_OT!R172</f>
        <v>0</v>
      </c>
      <c r="M186" s="40">
        <f>Registro_OT!T172</f>
        <v>0</v>
      </c>
      <c r="N186" s="41" t="str">
        <f>Registro_OT!W172</f>
        <v>Falta OC Mandante</v>
      </c>
      <c r="O186">
        <f>Registro_OT!AM172</f>
        <v>1</v>
      </c>
    </row>
    <row r="187" spans="2:15" x14ac:dyDescent="0.25">
      <c r="B187" t="str">
        <f>Registro_OT!A173</f>
        <v>OT-0172</v>
      </c>
      <c r="C187" t="str">
        <f>Registro_OT!B173</f>
        <v>CLI-001</v>
      </c>
      <c r="D187" t="str">
        <f>Registro_OT!C173</f>
        <v>ZTHJ-23</v>
      </c>
      <c r="E187" t="str">
        <f>Registro_OT!H173</f>
        <v>Marcelo Fuentes</v>
      </c>
      <c r="F187" t="str">
        <f>Registro_OT!J173</f>
        <v>PRES-1172</v>
      </c>
      <c r="G187" s="40">
        <f>Registro_OT!L173</f>
        <v>203420</v>
      </c>
      <c r="H187" t="str">
        <f>Registro_OT!M173</f>
        <v>Aprobado</v>
      </c>
      <c r="I187" t="str">
        <f>Registro_OT!N173</f>
        <v>OC-5172</v>
      </c>
      <c r="J187" s="40">
        <f>Registro_OT!P173</f>
        <v>203420</v>
      </c>
      <c r="K187" t="str">
        <f>Registro_OT!Q173</f>
        <v>Recibida</v>
      </c>
      <c r="L187" t="str">
        <f>Registro_OT!R173</f>
        <v>FACT-3172</v>
      </c>
      <c r="M187" s="40">
        <f>Registro_OT!T173</f>
        <v>203420</v>
      </c>
      <c r="N187" s="41" t="str">
        <f>Registro_OT!W173</f>
        <v>CUADRADO (3-WAY OK)</v>
      </c>
      <c r="O187">
        <f>Registro_OT!AM173</f>
        <v>1</v>
      </c>
    </row>
    <row r="188" spans="2:15" x14ac:dyDescent="0.25">
      <c r="B188" t="str">
        <f>Registro_OT!A174</f>
        <v>OT-0173</v>
      </c>
      <c r="C188" t="str">
        <f>Registro_OT!B174</f>
        <v>CLI-005</v>
      </c>
      <c r="D188" t="str">
        <f>Registro_OT!C174</f>
        <v>KTDZ-50</v>
      </c>
      <c r="E188" t="str">
        <f>Registro_OT!H174</f>
        <v>Cristian Araya</v>
      </c>
      <c r="F188" t="str">
        <f>Registro_OT!J174</f>
        <v>PRES-1173</v>
      </c>
      <c r="G188" s="40">
        <f>Registro_OT!L174</f>
        <v>159520</v>
      </c>
      <c r="H188" t="str">
        <f>Registro_OT!M174</f>
        <v>Aprobado</v>
      </c>
      <c r="I188" t="str">
        <f>Registro_OT!N174</f>
        <v>OC-5173</v>
      </c>
      <c r="J188" s="40">
        <f>Registro_OT!P174</f>
        <v>159520</v>
      </c>
      <c r="K188" t="str">
        <f>Registro_OT!Q174</f>
        <v>Recibida</v>
      </c>
      <c r="L188" t="str">
        <f>Registro_OT!R174</f>
        <v>FACT-3173</v>
      </c>
      <c r="M188" s="40">
        <f>Registro_OT!T174</f>
        <v>159520</v>
      </c>
      <c r="N188" s="41" t="str">
        <f>Registro_OT!W174</f>
        <v>CUADRADO (3-WAY OK)</v>
      </c>
      <c r="O188">
        <f>Registro_OT!AM174</f>
        <v>1</v>
      </c>
    </row>
    <row r="189" spans="2:15" x14ac:dyDescent="0.25">
      <c r="B189" t="str">
        <f>Registro_OT!A175</f>
        <v>OT-0174</v>
      </c>
      <c r="C189" t="str">
        <f>Registro_OT!B175</f>
        <v>CLI-014</v>
      </c>
      <c r="D189" t="str">
        <f>Registro_OT!C175</f>
        <v>SWDT-80</v>
      </c>
      <c r="E189" t="str">
        <f>Registro_OT!H175</f>
        <v>Marcelo Fuentes</v>
      </c>
      <c r="F189" t="str">
        <f>Registro_OT!J175</f>
        <v>PRES-1174</v>
      </c>
      <c r="G189" s="40">
        <f>Registro_OT!L175</f>
        <v>433940</v>
      </c>
      <c r="H189" t="str">
        <f>Registro_OT!M175</f>
        <v>Aprobado</v>
      </c>
      <c r="I189" t="str">
        <f>Registro_OT!N175</f>
        <v>OC-5174</v>
      </c>
      <c r="J189" s="40">
        <f>Registro_OT!P175</f>
        <v>433940</v>
      </c>
      <c r="K189" t="str">
        <f>Registro_OT!Q175</f>
        <v>Recibida</v>
      </c>
      <c r="L189" t="str">
        <f>Registro_OT!R175</f>
        <v>FACT-3174</v>
      </c>
      <c r="M189" s="40">
        <f>Registro_OT!T175</f>
        <v>433940</v>
      </c>
      <c r="N189" s="41" t="str">
        <f>Registro_OT!W175</f>
        <v>CUADRADO (3-WAY OK)</v>
      </c>
      <c r="O189">
        <f>Registro_OT!AM175</f>
        <v>1</v>
      </c>
    </row>
    <row r="190" spans="2:15" x14ac:dyDescent="0.25">
      <c r="B190" t="str">
        <f>Registro_OT!A176</f>
        <v>OT-0175</v>
      </c>
      <c r="C190" t="str">
        <f>Registro_OT!B176</f>
        <v>CLI-016</v>
      </c>
      <c r="D190" t="str">
        <f>Registro_OT!C176</f>
        <v>LRWP-21</v>
      </c>
      <c r="E190" t="str">
        <f>Registro_OT!H176</f>
        <v>Héctor Pizarro</v>
      </c>
      <c r="F190" t="str">
        <f>Registro_OT!J176</f>
        <v>PRES-1175</v>
      </c>
      <c r="G190" s="40">
        <f>Registro_OT!L176</f>
        <v>789780</v>
      </c>
      <c r="H190" t="str">
        <f>Registro_OT!M176</f>
        <v>Aprobado</v>
      </c>
      <c r="I190" t="str">
        <f>Registro_OT!N176</f>
        <v>OC-5175</v>
      </c>
      <c r="J190" s="40">
        <f>Registro_OT!P176</f>
        <v>789780</v>
      </c>
      <c r="K190" t="str">
        <f>Registro_OT!Q176</f>
        <v>Recibida</v>
      </c>
      <c r="L190">
        <f>Registro_OT!R176</f>
        <v>0</v>
      </c>
      <c r="M190" s="40">
        <f>Registro_OT!T176</f>
        <v>0</v>
      </c>
      <c r="N190" s="41" t="str">
        <f>Registro_OT!W176</f>
        <v>OC Recibida - Pendiente Factura</v>
      </c>
      <c r="O190">
        <f>Registro_OT!AM176</f>
        <v>1</v>
      </c>
    </row>
    <row r="191" spans="2:15" x14ac:dyDescent="0.25">
      <c r="B191" t="str">
        <f>Registro_OT!A177</f>
        <v>OT-0176</v>
      </c>
      <c r="C191" t="str">
        <f>Registro_OT!B177</f>
        <v>CLI-006</v>
      </c>
      <c r="D191" t="str">
        <f>Registro_OT!C177</f>
        <v>TCKP-77</v>
      </c>
      <c r="E191" t="str">
        <f>Registro_OT!H177</f>
        <v>Luis Contreras</v>
      </c>
      <c r="F191" t="str">
        <f>Registro_OT!J177</f>
        <v>PRES-1176</v>
      </c>
      <c r="G191" s="40">
        <f>Registro_OT!L177</f>
        <v>234820</v>
      </c>
      <c r="H191" t="str">
        <f>Registro_OT!M177</f>
        <v>Rechazado</v>
      </c>
      <c r="I191">
        <f>Registro_OT!N177</f>
        <v>0</v>
      </c>
      <c r="J191" s="40">
        <f>Registro_OT!P177</f>
        <v>0</v>
      </c>
      <c r="K191" t="str">
        <f>Registro_OT!Q177</f>
        <v>Sin OC</v>
      </c>
      <c r="L191">
        <f>Registro_OT!R177</f>
        <v>0</v>
      </c>
      <c r="M191" s="40">
        <f>Registro_OT!T177</f>
        <v>0</v>
      </c>
      <c r="N191" s="41" t="str">
        <f>Registro_OT!W177</f>
        <v>Presupuesto No Aprobado</v>
      </c>
      <c r="O191">
        <f>Registro_OT!AM177</f>
        <v>1</v>
      </c>
    </row>
    <row r="192" spans="2:15" x14ac:dyDescent="0.25">
      <c r="B192" t="str">
        <f>Registro_OT!A178</f>
        <v>OT-0177</v>
      </c>
      <c r="C192" t="str">
        <f>Registro_OT!B178</f>
        <v>CLI-004</v>
      </c>
      <c r="D192" t="str">
        <f>Registro_OT!C178</f>
        <v>BFPR-19</v>
      </c>
      <c r="E192" t="str">
        <f>Registro_OT!H178</f>
        <v>Patricio Rojas</v>
      </c>
      <c r="F192" t="str">
        <f>Registro_OT!J178</f>
        <v>PRES-1177</v>
      </c>
      <c r="G192" s="40">
        <f>Registro_OT!L178</f>
        <v>2059380</v>
      </c>
      <c r="H192" t="str">
        <f>Registro_OT!M178</f>
        <v>Aprobado</v>
      </c>
      <c r="I192" t="str">
        <f>Registro_OT!N178</f>
        <v>OC-5177</v>
      </c>
      <c r="J192" s="40">
        <f>Registro_OT!P178</f>
        <v>2059380</v>
      </c>
      <c r="K192" t="str">
        <f>Registro_OT!Q178</f>
        <v>Recibida</v>
      </c>
      <c r="L192">
        <f>Registro_OT!R178</f>
        <v>0</v>
      </c>
      <c r="M192" s="40">
        <f>Registro_OT!T178</f>
        <v>0</v>
      </c>
      <c r="N192" s="41" t="str">
        <f>Registro_OT!W178</f>
        <v>OC Recibida - Pendiente Factura</v>
      </c>
      <c r="O192">
        <f>Registro_OT!AM178</f>
        <v>1</v>
      </c>
    </row>
    <row r="193" spans="2:15" x14ac:dyDescent="0.25">
      <c r="B193" t="str">
        <f>Registro_OT!A179</f>
        <v>OT-0178</v>
      </c>
      <c r="C193" t="str">
        <f>Registro_OT!B179</f>
        <v>CLI-011</v>
      </c>
      <c r="D193" t="str">
        <f>Registro_OT!C179</f>
        <v>ZGRJ-62</v>
      </c>
      <c r="E193" t="str">
        <f>Registro_OT!H179</f>
        <v>Sergio Valdés</v>
      </c>
      <c r="F193" t="str">
        <f>Registro_OT!J179</f>
        <v>PRES-1178</v>
      </c>
      <c r="G193" s="40">
        <f>Registro_OT!L179</f>
        <v>864320</v>
      </c>
      <c r="H193" t="str">
        <f>Registro_OT!M179</f>
        <v>Aprobado</v>
      </c>
      <c r="I193" t="str">
        <f>Registro_OT!N179</f>
        <v>OC-5178</v>
      </c>
      <c r="J193" s="40">
        <f>Registro_OT!P179</f>
        <v>864320</v>
      </c>
      <c r="K193" t="str">
        <f>Registro_OT!Q179</f>
        <v>Recibida</v>
      </c>
      <c r="L193">
        <f>Registro_OT!R179</f>
        <v>0</v>
      </c>
      <c r="M193" s="40">
        <f>Registro_OT!T179</f>
        <v>0</v>
      </c>
      <c r="N193" s="41" t="str">
        <f>Registro_OT!W179</f>
        <v>OC Recibida - Pendiente Factura</v>
      </c>
      <c r="O193">
        <f>Registro_OT!AM179</f>
        <v>1</v>
      </c>
    </row>
    <row r="194" spans="2:15" x14ac:dyDescent="0.25">
      <c r="B194" t="str">
        <f>Registro_OT!A180</f>
        <v>OT-0179</v>
      </c>
      <c r="C194" t="str">
        <f>Registro_OT!B180</f>
        <v>CLI-015</v>
      </c>
      <c r="D194" t="str">
        <f>Registro_OT!C180</f>
        <v>RDXL-99</v>
      </c>
      <c r="E194" t="str">
        <f>Registro_OT!H180</f>
        <v>Cristian Araya</v>
      </c>
      <c r="F194" t="str">
        <f>Registro_OT!J180</f>
        <v>PRES-1179</v>
      </c>
      <c r="G194" s="40">
        <f>Registro_OT!L180</f>
        <v>727150</v>
      </c>
      <c r="H194" t="str">
        <f>Registro_OT!M180</f>
        <v>Aprobado</v>
      </c>
      <c r="I194" t="str">
        <f>Registro_OT!N180</f>
        <v>OC-5179</v>
      </c>
      <c r="J194" s="40">
        <f>Registro_OT!P180</f>
        <v>727150</v>
      </c>
      <c r="K194" t="str">
        <f>Registro_OT!Q180</f>
        <v>Recibida</v>
      </c>
      <c r="L194">
        <f>Registro_OT!R180</f>
        <v>0</v>
      </c>
      <c r="M194" s="40">
        <f>Registro_OT!T180</f>
        <v>0</v>
      </c>
      <c r="N194" s="41" t="str">
        <f>Registro_OT!W180</f>
        <v>OC Recibida - Pendiente Factura</v>
      </c>
      <c r="O194">
        <f>Registro_OT!AM180</f>
        <v>1</v>
      </c>
    </row>
    <row r="195" spans="2:15" x14ac:dyDescent="0.25">
      <c r="B195" t="str">
        <f>Registro_OT!A181</f>
        <v>OT-0180</v>
      </c>
      <c r="C195" t="str">
        <f>Registro_OT!B181</f>
        <v>CLI-012</v>
      </c>
      <c r="D195" t="str">
        <f>Registro_OT!C181</f>
        <v>HSLY-32</v>
      </c>
      <c r="E195" t="str">
        <f>Registro_OT!H181</f>
        <v>Luis Contreras</v>
      </c>
      <c r="F195" t="str">
        <f>Registro_OT!J181</f>
        <v>PRES-1180</v>
      </c>
      <c r="G195" s="40">
        <f>Registro_OT!L181</f>
        <v>1053870</v>
      </c>
      <c r="H195" t="str">
        <f>Registro_OT!M181</f>
        <v>Pendiente</v>
      </c>
      <c r="I195">
        <f>Registro_OT!N181</f>
        <v>0</v>
      </c>
      <c r="J195" s="40">
        <f>Registro_OT!P181</f>
        <v>0</v>
      </c>
      <c r="K195" t="str">
        <f>Registro_OT!Q181</f>
        <v>Sin OC</v>
      </c>
      <c r="L195">
        <f>Registro_OT!R181</f>
        <v>0</v>
      </c>
      <c r="M195" s="40">
        <f>Registro_OT!T181</f>
        <v>0</v>
      </c>
      <c r="N195" s="41" t="str">
        <f>Registro_OT!W181</f>
        <v>Presupuesto No Aprobado</v>
      </c>
      <c r="O195">
        <f>Registro_OT!AM181</f>
        <v>1</v>
      </c>
    </row>
  </sheetData>
  <mergeCells count="22">
    <mergeCell ref="B2:O2"/>
    <mergeCell ref="B8:C8"/>
    <mergeCell ref="N8:O8"/>
    <mergeCell ref="B1:O1"/>
    <mergeCell ref="H11:I11"/>
    <mergeCell ref="K8:L8"/>
    <mergeCell ref="H7:I7"/>
    <mergeCell ref="E11:F11"/>
    <mergeCell ref="K7:L7"/>
    <mergeCell ref="E7:F7"/>
    <mergeCell ref="H8:I8"/>
    <mergeCell ref="E12:F12"/>
    <mergeCell ref="B7:C7"/>
    <mergeCell ref="N11:O11"/>
    <mergeCell ref="N7:O7"/>
    <mergeCell ref="E8:F8"/>
    <mergeCell ref="B12:C12"/>
    <mergeCell ref="K11:L11"/>
    <mergeCell ref="B11:C11"/>
    <mergeCell ref="N12:O12"/>
    <mergeCell ref="K12:L12"/>
    <mergeCell ref="H12:I12"/>
  </mergeCells>
  <dataValidations count="2">
    <dataValidation type="list" sqref="C4" xr:uid="{00000000-0002-0000-0100-000000000000}">
      <formula1>"Todos,2026-05,2026-06,2026-07,2026-08,2026-09,2026-10"</formula1>
    </dataValidation>
    <dataValidation type="list" sqref="I4" xr:uid="{00000000-0002-0000-0100-000002000000}">
      <formula1>"Todos,CUADRADO (3-WAY OK),DESCUADRE DE MONTOS,Falta OC Mandante,OC Recibida - Pendiente Factura,Presupuesto No Aprobado"</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2">
        <x14:dataValidation type="list" xr:uid="{00000000-0002-0000-0100-000001000000}">
          <x14:formula1>
            <xm:f>Maestro_Clientes!$A$2:$A$19</xm:f>
          </x14:formula1>
          <xm:sqref>F4</xm:sqref>
        </x14:dataValidation>
        <x14:dataValidation type="list" xr:uid="{00000000-0002-0000-0100-000003000000}">
          <x14:formula1>
            <xm:f>Maestro_Tecnicos!$B$2:$B$9</xm:f>
          </x14:formula1>
          <xm:sqref>L4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8B57"/>
  </sheetPr>
  <dimension ref="B1:R40"/>
  <sheetViews>
    <sheetView showGridLines="0" zoomScaleNormal="100" workbookViewId="0">
      <pane ySplit="5" topLeftCell="A6" activePane="bottomLeft" state="frozen"/>
      <selection pane="bottomLeft"/>
    </sheetView>
  </sheetViews>
  <sheetFormatPr baseColWidth="10" defaultColWidth="8.7109375" defaultRowHeight="15" x14ac:dyDescent="0.25"/>
  <cols>
    <col min="1" max="1" width="2" customWidth="1"/>
    <col min="2" max="12" width="15" customWidth="1"/>
    <col min="13" max="14" width="3" customWidth="1"/>
    <col min="15" max="18" width="17" customWidth="1"/>
  </cols>
  <sheetData>
    <row r="1" spans="2:18" ht="33.75" customHeight="1" x14ac:dyDescent="0.25">
      <c r="B1" s="99" t="s">
        <v>1756</v>
      </c>
      <c r="C1" s="56"/>
      <c r="D1" s="56"/>
      <c r="E1" s="56"/>
      <c r="F1" s="56"/>
      <c r="G1" s="56"/>
      <c r="H1" s="56"/>
      <c r="I1" s="56"/>
      <c r="J1" s="56"/>
      <c r="K1" s="56"/>
      <c r="L1" s="56"/>
    </row>
    <row r="2" spans="2:18" x14ac:dyDescent="0.25">
      <c r="B2" s="98" t="s">
        <v>1757</v>
      </c>
      <c r="C2" s="56"/>
      <c r="D2" s="56"/>
      <c r="E2" s="56"/>
      <c r="F2" s="56"/>
      <c r="G2" s="56"/>
      <c r="H2" s="56"/>
      <c r="I2" s="56"/>
      <c r="J2" s="56"/>
      <c r="K2" s="56"/>
      <c r="L2" s="56"/>
    </row>
    <row r="4" spans="2:18" ht="15" customHeight="1" x14ac:dyDescent="0.25">
      <c r="B4" s="11" t="s">
        <v>1758</v>
      </c>
      <c r="D4" s="11" t="s">
        <v>1759</v>
      </c>
      <c r="F4" s="11" t="s">
        <v>1760</v>
      </c>
      <c r="H4" s="11" t="s">
        <v>1761</v>
      </c>
      <c r="J4" s="102" t="s">
        <v>1762</v>
      </c>
      <c r="K4" s="56"/>
      <c r="L4" s="56"/>
      <c r="O4" s="11" t="s">
        <v>1763</v>
      </c>
    </row>
    <row r="5" spans="2:18" x14ac:dyDescent="0.25">
      <c r="B5" s="12">
        <v>46316</v>
      </c>
      <c r="D5" s="2" t="s">
        <v>88</v>
      </c>
      <c r="F5" s="97" t="s">
        <v>88</v>
      </c>
      <c r="G5" s="89"/>
      <c r="H5" s="97" t="s">
        <v>88</v>
      </c>
      <c r="I5" s="89"/>
      <c r="J5" s="56"/>
      <c r="K5" s="56"/>
      <c r="L5" s="56"/>
      <c r="O5" s="13" t="s">
        <v>1764</v>
      </c>
      <c r="P5" s="13" t="str">
        <f>IF(F5="Todos","*",F5)</f>
        <v>*</v>
      </c>
      <c r="Q5" s="13"/>
      <c r="R5" s="13"/>
    </row>
    <row r="6" spans="2:18" x14ac:dyDescent="0.25">
      <c r="O6" s="13" t="s">
        <v>1765</v>
      </c>
      <c r="P6" s="13" t="str">
        <f>IF(H5="Todos","*",H5)</f>
        <v>*</v>
      </c>
      <c r="Q6" s="13"/>
      <c r="R6" s="13"/>
    </row>
    <row r="7" spans="2:18" x14ac:dyDescent="0.25">
      <c r="B7" s="90" t="s">
        <v>1766</v>
      </c>
      <c r="C7" s="91"/>
      <c r="D7" s="91"/>
      <c r="E7" s="91"/>
      <c r="F7" s="91"/>
      <c r="G7" s="91"/>
      <c r="H7" s="91"/>
      <c r="I7" s="91"/>
      <c r="J7" s="91"/>
      <c r="K7" s="91"/>
      <c r="L7" s="91"/>
      <c r="O7" s="13"/>
      <c r="P7" s="13"/>
      <c r="Q7" s="13"/>
      <c r="R7" s="13"/>
    </row>
    <row r="8" spans="2:18" x14ac:dyDescent="0.25">
      <c r="B8" s="94" t="s">
        <v>1767</v>
      </c>
      <c r="C8" s="89"/>
      <c r="D8" s="94" t="s">
        <v>1768</v>
      </c>
      <c r="E8" s="89"/>
      <c r="F8" s="94" t="s">
        <v>1769</v>
      </c>
      <c r="G8" s="89"/>
      <c r="H8" s="94" t="s">
        <v>1770</v>
      </c>
      <c r="I8" s="89"/>
      <c r="J8" s="94" t="s">
        <v>1771</v>
      </c>
      <c r="K8" s="89"/>
      <c r="O8" s="14" t="s">
        <v>142</v>
      </c>
      <c r="P8" s="14" t="s">
        <v>1772</v>
      </c>
      <c r="Q8" s="14" t="s">
        <v>1773</v>
      </c>
      <c r="R8" s="14" t="s">
        <v>1774</v>
      </c>
    </row>
    <row r="9" spans="2:18" ht="37.5" customHeight="1" x14ac:dyDescent="0.25">
      <c r="B9" s="101">
        <f>COUNTIFS(T_OrdenesTrabajo[En_Filtro],1)</f>
        <v>180</v>
      </c>
      <c r="C9" s="89"/>
      <c r="D9" s="101">
        <f>COUNTIFS(T_OrdenesTrabajo[En_Filtro],1,T_OrdenesTrabajo[Estado_OT],"En Curso")+COUNTIFS(T_OrdenesTrabajo[En_Filtro],1,T_OrdenesTrabajo[Estado_OT],"Reprogramada")</f>
        <v>16</v>
      </c>
      <c r="E9" s="89"/>
      <c r="F9" s="101">
        <f>SUMIFS(T_OrdenesTrabajo[Atrasada_Activa],T_OrdenesTrabajo[En_Filtro],1)</f>
        <v>13</v>
      </c>
      <c r="G9" s="89"/>
      <c r="H9" s="92">
        <f>IFERROR(SUMIFS(T_OrdenesTrabajo[Cumple_Plazo],T_OrdenesTrabajo[En_Filtro],1)/(COUNTIFS(T_OrdenesTrabajo[En_Filtro],1,T_OrdenesTrabajo[Cumple_Plazo],0)+COUNTIFS(T_OrdenesTrabajo[En_Filtro],1,T_OrdenesTrabajo[Cumple_Plazo],1)),0)</f>
        <v>0.64634146341463417</v>
      </c>
      <c r="I9" s="89"/>
      <c r="J9" s="93">
        <f>IFERROR(AVERAGEIFS(T_OrdenesTrabajo[Dias_en_Taller],T_OrdenesTrabajo[En_Filtro],1,T_OrdenesTrabajo[Dias_en_Taller],"&gt;=0"),0)</f>
        <v>7.3231707317073171</v>
      </c>
      <c r="K9" s="89"/>
      <c r="O9" s="13" t="s">
        <v>144</v>
      </c>
      <c r="P9" s="13">
        <f>COUNTIFS(T_OrdenesTrabajo[Mes_Ingreso],O9,T_OrdenesTrabajo[Tipo_Servicio],$P$5,T_OrdenesTrabajo[Estado_OT],$P$6)</f>
        <v>26</v>
      </c>
      <c r="Q9" s="15">
        <f>SUMIFS(T_OrdenesTrabajo[Monto_Total_Cobrable],T_OrdenesTrabajo[Mes_Ingreso],O9,T_OrdenesTrabajo[Tipo_Servicio],$P$5,T_OrdenesTrabajo[Estado_OT],$P$6)</f>
        <v>15213860</v>
      </c>
      <c r="R9" s="15">
        <f>SUMIFS(T_OrdenesTrabajo[Costo_Materiales],T_OrdenesTrabajo[Mes_Ingreso],O9,T_OrdenesTrabajo[Tipo_Servicio],$P$5,T_OrdenesTrabajo[Estado_OT],$P$6)+SUMIFS(T_OrdenesTrabajo[Costo_Mano_Obra],T_OrdenesTrabajo[Mes_Ingreso],O9,T_OrdenesTrabajo[Tipo_Servicio],$P$5,T_OrdenesTrabajo[Estado_OT],$P$6)</f>
        <v>9953510</v>
      </c>
    </row>
    <row r="10" spans="2:18" x14ac:dyDescent="0.25">
      <c r="O10" s="13" t="s">
        <v>145</v>
      </c>
      <c r="P10" s="13">
        <f>COUNTIFS(T_OrdenesTrabajo[Mes_Ingreso],O10,T_OrdenesTrabajo[Tipo_Servicio],$P$5,T_OrdenesTrabajo[Estado_OT],$P$6)</f>
        <v>23</v>
      </c>
      <c r="Q10" s="15">
        <f>SUMIFS(T_OrdenesTrabajo[Monto_Total_Cobrable],T_OrdenesTrabajo[Mes_Ingreso],O10,T_OrdenesTrabajo[Tipo_Servicio],$P$5,T_OrdenesTrabajo[Estado_OT],$P$6)</f>
        <v>13115210</v>
      </c>
      <c r="R10" s="15">
        <f>SUMIFS(T_OrdenesTrabajo[Costo_Materiales],T_OrdenesTrabajo[Mes_Ingreso],O10,T_OrdenesTrabajo[Tipo_Servicio],$P$5,T_OrdenesTrabajo[Estado_OT],$P$6)+SUMIFS(T_OrdenesTrabajo[Costo_Mano_Obra],T_OrdenesTrabajo[Mes_Ingreso],O10,T_OrdenesTrabajo[Tipo_Servicio],$P$5,T_OrdenesTrabajo[Estado_OT],$P$6)</f>
        <v>9010480</v>
      </c>
    </row>
    <row r="11" spans="2:18" x14ac:dyDescent="0.25">
      <c r="B11" s="90" t="s">
        <v>1775</v>
      </c>
      <c r="C11" s="91"/>
      <c r="D11" s="91"/>
      <c r="E11" s="91"/>
      <c r="F11" s="91"/>
      <c r="G11" s="91"/>
      <c r="H11" s="91"/>
      <c r="I11" s="91"/>
      <c r="J11" s="91"/>
      <c r="K11" s="91"/>
      <c r="L11" s="91"/>
      <c r="O11" s="13" t="s">
        <v>146</v>
      </c>
      <c r="P11" s="13">
        <f>COUNTIFS(T_OrdenesTrabajo[Mes_Ingreso],O11,T_OrdenesTrabajo[Tipo_Servicio],$P$5,T_OrdenesTrabajo[Estado_OT],$P$6)</f>
        <v>37</v>
      </c>
      <c r="Q11" s="15">
        <f>SUMIFS(T_OrdenesTrabajo[Monto_Total_Cobrable],T_OrdenesTrabajo[Mes_Ingreso],O11,T_OrdenesTrabajo[Tipo_Servicio],$P$5,T_OrdenesTrabajo[Estado_OT],$P$6)</f>
        <v>21340780</v>
      </c>
      <c r="R11" s="15">
        <f>SUMIFS(T_OrdenesTrabajo[Costo_Materiales],T_OrdenesTrabajo[Mes_Ingreso],O11,T_OrdenesTrabajo[Tipo_Servicio],$P$5,T_OrdenesTrabajo[Estado_OT],$P$6)+SUMIFS(T_OrdenesTrabajo[Costo_Mano_Obra],T_OrdenesTrabajo[Mes_Ingreso],O11,T_OrdenesTrabajo[Tipo_Servicio],$P$5,T_OrdenesTrabajo[Estado_OT],$P$6)</f>
        <v>15380320</v>
      </c>
    </row>
    <row r="12" spans="2:18" x14ac:dyDescent="0.25">
      <c r="B12" s="94" t="s">
        <v>1776</v>
      </c>
      <c r="C12" s="89"/>
      <c r="D12" s="94" t="s">
        <v>1777</v>
      </c>
      <c r="E12" s="89"/>
      <c r="F12" s="94" t="s">
        <v>1778</v>
      </c>
      <c r="G12" s="89"/>
      <c r="H12" s="94" t="s">
        <v>1779</v>
      </c>
      <c r="I12" s="89"/>
      <c r="J12" s="94" t="s">
        <v>1780</v>
      </c>
      <c r="K12" s="89"/>
      <c r="O12" s="13" t="s">
        <v>147</v>
      </c>
      <c r="P12" s="13">
        <f>COUNTIFS(T_OrdenesTrabajo[Mes_Ingreso],O12,T_OrdenesTrabajo[Tipo_Servicio],$P$5,T_OrdenesTrabajo[Estado_OT],$P$6)</f>
        <v>40</v>
      </c>
      <c r="Q12" s="15">
        <f>SUMIFS(T_OrdenesTrabajo[Monto_Total_Cobrable],T_OrdenesTrabajo[Mes_Ingreso],O12,T_OrdenesTrabajo[Tipo_Servicio],$P$5,T_OrdenesTrabajo[Estado_OT],$P$6)</f>
        <v>21826420</v>
      </c>
      <c r="R12" s="15">
        <f>SUMIFS(T_OrdenesTrabajo[Costo_Materiales],T_OrdenesTrabajo[Mes_Ingreso],O12,T_OrdenesTrabajo[Tipo_Servicio],$P$5,T_OrdenesTrabajo[Estado_OT],$P$6)+SUMIFS(T_OrdenesTrabajo[Costo_Mano_Obra],T_OrdenesTrabajo[Mes_Ingreso],O12,T_OrdenesTrabajo[Tipo_Servicio],$P$5,T_OrdenesTrabajo[Estado_OT],$P$6)</f>
        <v>14343140</v>
      </c>
    </row>
    <row r="13" spans="2:18" ht="37.5" customHeight="1" x14ac:dyDescent="0.25">
      <c r="B13" s="96">
        <f>SUMIFS(T_OrdenesTrabajo[Monto_Total_Cobrable],T_OrdenesTrabajo[En_Filtro],1)</f>
        <v>110292780</v>
      </c>
      <c r="C13" s="89"/>
      <c r="D13" s="96">
        <f>SUMIFS(T_OrdenesTrabajo[Costo_Materiales],T_OrdenesTrabajo[En_Filtro],1)</f>
        <v>46808500</v>
      </c>
      <c r="E13" s="89"/>
      <c r="F13" s="96">
        <f>SUMIFS(T_OrdenesTrabajo[Costo_Mano_Obra],T_OrdenesTrabajo[En_Filtro],1)</f>
        <v>28981900</v>
      </c>
      <c r="G13" s="89"/>
      <c r="H13" s="96">
        <f>B13-D13-F13</f>
        <v>34502380</v>
      </c>
      <c r="I13" s="89"/>
      <c r="J13" s="92">
        <f>IFERROR(H13/B13,0)</f>
        <v>0.3128253726127857</v>
      </c>
      <c r="K13" s="89"/>
      <c r="O13" s="13" t="s">
        <v>148</v>
      </c>
      <c r="P13" s="13">
        <f>COUNTIFS(T_OrdenesTrabajo[Mes_Ingreso],O13,T_OrdenesTrabajo[Tipo_Servicio],$P$5,T_OrdenesTrabajo[Estado_OT],$P$6)</f>
        <v>34</v>
      </c>
      <c r="Q13" s="15">
        <f>SUMIFS(T_OrdenesTrabajo[Monto_Total_Cobrable],T_OrdenesTrabajo[Mes_Ingreso],O13,T_OrdenesTrabajo[Tipo_Servicio],$P$5,T_OrdenesTrabajo[Estado_OT],$P$6)</f>
        <v>25884000</v>
      </c>
      <c r="R13" s="15">
        <f>SUMIFS(T_OrdenesTrabajo[Costo_Materiales],T_OrdenesTrabajo[Mes_Ingreso],O13,T_OrdenesTrabajo[Tipo_Servicio],$P$5,T_OrdenesTrabajo[Estado_OT],$P$6)+SUMIFS(T_OrdenesTrabajo[Costo_Mano_Obra],T_OrdenesTrabajo[Mes_Ingreso],O13,T_OrdenesTrabajo[Tipo_Servicio],$P$5,T_OrdenesTrabajo[Estado_OT],$P$6)</f>
        <v>18609970</v>
      </c>
    </row>
    <row r="14" spans="2:18" x14ac:dyDescent="0.25">
      <c r="O14" s="13" t="s">
        <v>149</v>
      </c>
      <c r="P14" s="13">
        <f>COUNTIFS(T_OrdenesTrabajo[Mes_Ingreso],O14,T_OrdenesTrabajo[Tipo_Servicio],$P$5,T_OrdenesTrabajo[Estado_OT],$P$6)</f>
        <v>20</v>
      </c>
      <c r="Q14" s="15">
        <f>SUMIFS(T_OrdenesTrabajo[Monto_Total_Cobrable],T_OrdenesTrabajo[Mes_Ingreso],O14,T_OrdenesTrabajo[Tipo_Servicio],$P$5,T_OrdenesTrabajo[Estado_OT],$P$6)</f>
        <v>12912510</v>
      </c>
      <c r="R14" s="15">
        <f>SUMIFS(T_OrdenesTrabajo[Costo_Materiales],T_OrdenesTrabajo[Mes_Ingreso],O14,T_OrdenesTrabajo[Tipo_Servicio],$P$5,T_OrdenesTrabajo[Estado_OT],$P$6)+SUMIFS(T_OrdenesTrabajo[Costo_Mano_Obra],T_OrdenesTrabajo[Mes_Ingreso],O14,T_OrdenesTrabajo[Tipo_Servicio],$P$5,T_OrdenesTrabajo[Estado_OT],$P$6)</f>
        <v>8492980</v>
      </c>
    </row>
    <row r="15" spans="2:18" x14ac:dyDescent="0.25">
      <c r="B15" s="90" t="s">
        <v>1781</v>
      </c>
      <c r="C15" s="91"/>
      <c r="D15" s="91"/>
      <c r="E15" s="91"/>
      <c r="F15" s="91"/>
      <c r="G15" s="91"/>
      <c r="H15" s="91"/>
      <c r="I15" s="91"/>
      <c r="J15" s="91"/>
      <c r="K15" s="91"/>
      <c r="L15" s="91"/>
    </row>
    <row r="16" spans="2:18" x14ac:dyDescent="0.25">
      <c r="B16" s="1" t="s">
        <v>1782</v>
      </c>
      <c r="C16" s="95" t="s">
        <v>1783</v>
      </c>
      <c r="D16" s="89"/>
      <c r="E16" s="1" t="s">
        <v>1784</v>
      </c>
      <c r="G16" s="1" t="s">
        <v>1782</v>
      </c>
      <c r="H16" s="95" t="s">
        <v>1785</v>
      </c>
      <c r="I16" s="89"/>
      <c r="J16" s="1" t="s">
        <v>1786</v>
      </c>
    </row>
    <row r="17" spans="2:12" x14ac:dyDescent="0.25">
      <c r="B17" s="16">
        <v>1</v>
      </c>
      <c r="C17" s="88" t="str">
        <f>IFERROR(INDEX(T_Repuestos[Descripcion_Repuesto],MATCH(1,T_Repuestos[Rank_Cantidad],0)),"")</f>
        <v>Aceite de caja 80W90</v>
      </c>
      <c r="D17" s="89"/>
      <c r="E17" s="17">
        <f>IFERROR(INDEX(T_Repuestos[Cantidad_Usada],MATCH(1,T_Repuestos[Rank_Cantidad],0)),0)</f>
        <v>415</v>
      </c>
      <c r="G17" s="16">
        <v>1</v>
      </c>
      <c r="H17" s="88" t="str">
        <f>IFERROR(INDEX(T_Repuestos[Descripcion_Repuesto],MATCH(1,T_Repuestos[Rank_Costo],0)),"")</f>
        <v>Parabrisas panorámico</v>
      </c>
      <c r="I17" s="89"/>
      <c r="J17" s="18">
        <f>IFERROR(INDEX(T_Repuestos[Costo_Consumo],MATCH(1,T_Repuestos[Rank_Costo],0)),0)</f>
        <v>6765540</v>
      </c>
    </row>
    <row r="18" spans="2:12" x14ac:dyDescent="0.25">
      <c r="B18" s="16">
        <v>2</v>
      </c>
      <c r="C18" s="88" t="str">
        <f>IFERROR(INDEX(T_Repuestos[Descripcion_Repuesto],MATCH(2,T_Repuestos[Rank_Cantidad],0)),"")</f>
        <v>Refrigerante concentrado</v>
      </c>
      <c r="D18" s="89"/>
      <c r="E18" s="17">
        <f>IFERROR(INDEX(T_Repuestos[Cantidad_Usada],MATCH(2,T_Repuestos[Rank_Cantidad],0)),0)</f>
        <v>352</v>
      </c>
      <c r="G18" s="16">
        <v>2</v>
      </c>
      <c r="H18" s="88" t="str">
        <f>IFERROR(INDEX(T_Repuestos[Descripcion_Repuesto],MATCH(2,T_Repuestos[Rank_Costo],0)),"")</f>
        <v>Balón neumático (fuelle)</v>
      </c>
      <c r="I18" s="89"/>
      <c r="J18" s="18">
        <f>IFERROR(INDEX(T_Repuestos[Costo_Consumo],MATCH(2,T_Repuestos[Rank_Costo],0)),0)</f>
        <v>5065910</v>
      </c>
    </row>
    <row r="19" spans="2:12" x14ac:dyDescent="0.25">
      <c r="B19" s="16">
        <v>3</v>
      </c>
      <c r="C19" s="88" t="str">
        <f>IFERROR(INDEX(T_Repuestos[Descripcion_Repuesto],MATCH(3,T_Repuestos[Rank_Cantidad],0)),"")</f>
        <v>Aceite motor 15W40</v>
      </c>
      <c r="D19" s="89"/>
      <c r="E19" s="17">
        <f>IFERROR(INDEX(T_Repuestos[Cantidad_Usada],MATCH(3,T_Repuestos[Rank_Cantidad],0)),0)</f>
        <v>276</v>
      </c>
      <c r="G19" s="16">
        <v>3</v>
      </c>
      <c r="H19" s="88" t="str">
        <f>IFERROR(INDEX(T_Repuestos[Descripcion_Repuesto],MATCH(3,T_Repuestos[Rank_Costo],0)),"")</f>
        <v>Panel lateral de fibra</v>
      </c>
      <c r="I19" s="89"/>
      <c r="J19" s="18">
        <f>IFERROR(INDEX(T_Repuestos[Costo_Consumo],MATCH(3,T_Repuestos[Rank_Costo],0)),0)</f>
        <v>4140070</v>
      </c>
    </row>
    <row r="20" spans="2:12" x14ac:dyDescent="0.25">
      <c r="B20" s="16">
        <v>4</v>
      </c>
      <c r="C20" s="88" t="str">
        <f>IFERROR(INDEX(T_Repuestos[Descripcion_Repuesto],MATCH(4,T_Repuestos[Rank_Cantidad],0)),"")</f>
        <v>Pintura esmalte para bus</v>
      </c>
      <c r="D20" s="89"/>
      <c r="E20" s="17">
        <f>IFERROR(INDEX(T_Repuestos[Cantidad_Usada],MATCH(4,T_Repuestos[Rank_Cantidad],0)),0)</f>
        <v>93</v>
      </c>
      <c r="G20" s="16">
        <v>4</v>
      </c>
      <c r="H20" s="88" t="str">
        <f>IFERROR(INDEX(T_Repuestos[Descripcion_Repuesto],MATCH(4,T_Repuestos[Rank_Costo],0)),"")</f>
        <v>Luneta trasera</v>
      </c>
      <c r="I20" s="89"/>
      <c r="J20" s="18">
        <f>IFERROR(INDEX(T_Repuestos[Costo_Consumo],MATCH(4,T_Repuestos[Rank_Costo],0)),0)</f>
        <v>2767420</v>
      </c>
    </row>
    <row r="21" spans="2:12" x14ac:dyDescent="0.25">
      <c r="B21" s="16">
        <v>5</v>
      </c>
      <c r="C21" s="88" t="str">
        <f>IFERROR(INDEX(T_Repuestos[Descripcion_Repuesto],MATCH(5,T_Repuestos[Rank_Cantidad],0)),"")</f>
        <v>Filtro de combustible</v>
      </c>
      <c r="D21" s="89"/>
      <c r="E21" s="17">
        <f>IFERROR(INDEX(T_Repuestos[Cantidad_Usada],MATCH(5,T_Repuestos[Rank_Cantidad],0)),0)</f>
        <v>62</v>
      </c>
      <c r="G21" s="16">
        <v>5</v>
      </c>
      <c r="H21" s="88" t="str">
        <f>IFERROR(INDEX(T_Repuestos[Descripcion_Repuesto],MATCH(5,T_Repuestos[Rank_Costo],0)),"")</f>
        <v>Aceite de caja 80W90</v>
      </c>
      <c r="I21" s="89"/>
      <c r="J21" s="18">
        <f>IFERROR(INDEX(T_Repuestos[Costo_Consumo],MATCH(5,T_Repuestos[Rank_Costo],0)),0)</f>
        <v>2648980</v>
      </c>
    </row>
    <row r="23" spans="2:12" x14ac:dyDescent="0.25">
      <c r="B23" s="90" t="s">
        <v>1787</v>
      </c>
      <c r="C23" s="91"/>
      <c r="D23" s="91"/>
      <c r="E23" s="91"/>
      <c r="F23" s="91"/>
      <c r="G23" s="91"/>
      <c r="H23" s="91"/>
      <c r="I23" s="91"/>
      <c r="J23" s="91"/>
      <c r="K23" s="91"/>
      <c r="L23" s="91"/>
    </row>
    <row r="24" spans="2:12" x14ac:dyDescent="0.25">
      <c r="B24" s="87" t="str">
        <f>"OT atrasadas aún abiertas ("&amp;SUM(T_OrdenesTrabajo[Atrasada_Activa])&amp;")"</f>
        <v>OT atrasadas aún abiertas (13)</v>
      </c>
      <c r="C24" s="56"/>
      <c r="D24" s="56"/>
      <c r="F24" s="87" t="str">
        <f>"Terminadas pendientes de facturar ("&amp;SUM(T_OrdenesTrabajo[Pend_Facturacion])&amp;")"</f>
        <v>Terminadas pendientes de facturar (10)</v>
      </c>
      <c r="G24" s="56"/>
      <c r="H24" s="56"/>
      <c r="J24" s="87" t="str">
        <f>"OT con costos/precios faltantes ("&amp;SUM(T_OrdenesTrabajo[Dato_Incompleto])&amp;")"</f>
        <v>OT con costos/precios faltantes (12)</v>
      </c>
      <c r="K24" s="56"/>
      <c r="L24" s="56"/>
    </row>
    <row r="25" spans="2:12" x14ac:dyDescent="0.25">
      <c r="B25" s="19" t="s">
        <v>233</v>
      </c>
      <c r="C25" s="19" t="s">
        <v>107</v>
      </c>
      <c r="D25" s="19" t="s">
        <v>1788</v>
      </c>
      <c r="F25" s="19" t="s">
        <v>233</v>
      </c>
      <c r="G25" s="19" t="s">
        <v>107</v>
      </c>
      <c r="H25" s="19" t="s">
        <v>1789</v>
      </c>
      <c r="J25" s="19" t="s">
        <v>233</v>
      </c>
      <c r="K25" s="19" t="s">
        <v>107</v>
      </c>
      <c r="L25" s="19" t="s">
        <v>1790</v>
      </c>
    </row>
    <row r="26" spans="2:12" x14ac:dyDescent="0.25">
      <c r="B26" s="20" t="str">
        <f>IFERROR(INDEX(T_OrdenesTrabajo[ID_OT],MATCH(1,T_OrdenesTrabajo[Seq_Atrasada],0)),"")</f>
        <v>OT-0015</v>
      </c>
      <c r="C26" s="20" t="str">
        <f>IF(B26="","",INDEX(T_OrdenesTrabajo[Patente_Bus],MATCH(B26,T_OrdenesTrabajo[ID_OT],0)))</f>
        <v>DCTS-30</v>
      </c>
      <c r="D26" s="21">
        <f>IF(B26="","",$B$5-INDEX(T_OrdenesTrabajo[Fecha_Compromiso],MATCH(B26,T_OrdenesTrabajo[ID_OT],0)))</f>
        <v>153</v>
      </c>
      <c r="F26" s="20" t="str">
        <f>IFERROR(INDEX(T_OrdenesTrabajo[ID_OT],MATCH(1,T_OrdenesTrabajo[Seq_Pend_Fact],0)),"")</f>
        <v>OT-0003</v>
      </c>
      <c r="G26" s="20" t="str">
        <f>IF(F26="","",INDEX(T_OrdenesTrabajo[Patente_Bus],MATCH(F26,T_OrdenesTrabajo[ID_OT],0)))</f>
        <v>RCYD-42</v>
      </c>
      <c r="H26" s="22">
        <f>IF(F26="","",INDEX(T_OrdenesTrabajo[Monto_Total_Cobrable],MATCH(F26,T_OrdenesTrabajo[ID_OT],0)))</f>
        <v>168410</v>
      </c>
      <c r="J26" s="20" t="str">
        <f>IFERROR(INDEX(T_OrdenesTrabajo[ID_OT],MATCH(1,T_OrdenesTrabajo[Seq_Incompleta],0)),"")</f>
        <v>OT-0028</v>
      </c>
      <c r="K26" s="20" t="str">
        <f>IF(J26="","",INDEX(T_OrdenesTrabajo[Patente_Bus],MATCH(J26,T_OrdenesTrabajo[ID_OT],0)))</f>
        <v>KJYZ-42</v>
      </c>
      <c r="L26" s="21">
        <f>IF(J26="","",SUMIFS(T_DetalleOT[Alerta_Dato],T_DetalleOT[ID_OT],J26))</f>
        <v>1</v>
      </c>
    </row>
    <row r="27" spans="2:12" x14ac:dyDescent="0.25">
      <c r="B27" s="20" t="str">
        <f>IFERROR(INDEX(T_OrdenesTrabajo[ID_OT],MATCH(2,T_OrdenesTrabajo[Seq_Atrasada],0)),"")</f>
        <v>OT-0054</v>
      </c>
      <c r="C27" s="20" t="str">
        <f>IF(B27="","",INDEX(T_OrdenesTrabajo[Patente_Bus],MATCH(B27,T_OrdenesTrabajo[ID_OT],0)))</f>
        <v>BVXG-76</v>
      </c>
      <c r="D27" s="21">
        <f>IF(B27="","",$B$5-INDEX(T_OrdenesTrabajo[Fecha_Compromiso],MATCH(B27,T_OrdenesTrabajo[ID_OT],0)))</f>
        <v>104</v>
      </c>
      <c r="F27" s="20" t="str">
        <f>IFERROR(INDEX(T_OrdenesTrabajo[ID_OT],MATCH(2,T_OrdenesTrabajo[Seq_Pend_Fact],0)),"")</f>
        <v>OT-0036</v>
      </c>
      <c r="G27" s="20" t="str">
        <f>IF(F27="","",INDEX(T_OrdenesTrabajo[Patente_Bus],MATCH(F27,T_OrdenesTrabajo[ID_OT],0)))</f>
        <v>FZSK-81</v>
      </c>
      <c r="H27" s="22">
        <f>IF(F27="","",INDEX(T_OrdenesTrabajo[Monto_Total_Cobrable],MATCH(F27,T_OrdenesTrabajo[ID_OT],0)))</f>
        <v>390620</v>
      </c>
      <c r="J27" s="20" t="str">
        <f>IFERROR(INDEX(T_OrdenesTrabajo[ID_OT],MATCH(2,T_OrdenesTrabajo[Seq_Incompleta],0)),"")</f>
        <v>OT-0063</v>
      </c>
      <c r="K27" s="20" t="str">
        <f>IF(J27="","",INDEX(T_OrdenesTrabajo[Patente_Bus],MATCH(J27,T_OrdenesTrabajo[ID_OT],0)))</f>
        <v>WTWL-98</v>
      </c>
      <c r="L27" s="21">
        <f>IF(J27="","",SUMIFS(T_DetalleOT[Alerta_Dato],T_DetalleOT[ID_OT],J27))</f>
        <v>1</v>
      </c>
    </row>
    <row r="28" spans="2:12" x14ac:dyDescent="0.25">
      <c r="B28" s="20" t="str">
        <f>IFERROR(INDEX(T_OrdenesTrabajo[ID_OT],MATCH(3,T_OrdenesTrabajo[Seq_Atrasada],0)),"")</f>
        <v>OT-0064</v>
      </c>
      <c r="C28" s="20" t="str">
        <f>IF(B28="","",INDEX(T_OrdenesTrabajo[Patente_Bus],MATCH(B28,T_OrdenesTrabajo[ID_OT],0)))</f>
        <v>DCZJ-61</v>
      </c>
      <c r="D28" s="21">
        <f>IF(B28="","",$B$5-INDEX(T_OrdenesTrabajo[Fecha_Compromiso],MATCH(B28,T_OrdenesTrabajo[ID_OT],0)))</f>
        <v>86</v>
      </c>
      <c r="F28" s="20" t="str">
        <f>IFERROR(INDEX(T_OrdenesTrabajo[ID_OT],MATCH(3,T_OrdenesTrabajo[Seq_Pend_Fact],0)),"")</f>
        <v>OT-0045</v>
      </c>
      <c r="G28" s="20" t="str">
        <f>IF(F28="","",INDEX(T_OrdenesTrabajo[Patente_Bus],MATCH(F28,T_OrdenesTrabajo[ID_OT],0)))</f>
        <v>JXLB-86</v>
      </c>
      <c r="H28" s="22">
        <f>IF(F28="","",INDEX(T_OrdenesTrabajo[Monto_Total_Cobrable],MATCH(F28,T_OrdenesTrabajo[ID_OT],0)))</f>
        <v>908960</v>
      </c>
      <c r="J28" s="20" t="str">
        <f>IFERROR(INDEX(T_OrdenesTrabajo[ID_OT],MATCH(3,T_OrdenesTrabajo[Seq_Incompleta],0)),"")</f>
        <v>OT-0070</v>
      </c>
      <c r="K28" s="20" t="str">
        <f>IF(J28="","",INDEX(T_OrdenesTrabajo[Patente_Bus],MATCH(J28,T_OrdenesTrabajo[ID_OT],0)))</f>
        <v>LPYZ-21</v>
      </c>
      <c r="L28" s="21">
        <f>IF(J28="","",SUMIFS(T_DetalleOT[Alerta_Dato],T_DetalleOT[ID_OT],J28))</f>
        <v>1</v>
      </c>
    </row>
    <row r="29" spans="2:12" x14ac:dyDescent="0.25">
      <c r="B29" s="20" t="str">
        <f>IFERROR(INDEX(T_OrdenesTrabajo[ID_OT],MATCH(4,T_OrdenesTrabajo[Seq_Atrasada],0)),"")</f>
        <v>OT-0098</v>
      </c>
      <c r="C29" s="20" t="str">
        <f>IF(B29="","",INDEX(T_OrdenesTrabajo[Patente_Bus],MATCH(B29,T_OrdenesTrabajo[ID_OT],0)))</f>
        <v>GWVV-51</v>
      </c>
      <c r="D29" s="21">
        <f>IF(B29="","",$B$5-INDEX(T_OrdenesTrabajo[Fecha_Compromiso],MATCH(B29,T_OrdenesTrabajo[ID_OT],0)))</f>
        <v>70</v>
      </c>
      <c r="F29" s="20" t="str">
        <f>IFERROR(INDEX(T_OrdenesTrabajo[ID_OT],MATCH(4,T_OrdenesTrabajo[Seq_Pend_Fact],0)),"")</f>
        <v>OT-0087</v>
      </c>
      <c r="G29" s="20" t="str">
        <f>IF(F29="","",INDEX(T_OrdenesTrabajo[Patente_Bus],MATCH(F29,T_OrdenesTrabajo[ID_OT],0)))</f>
        <v>BHDW-82</v>
      </c>
      <c r="H29" s="22">
        <f>IF(F29="","",INDEX(T_OrdenesTrabajo[Monto_Total_Cobrable],MATCH(F29,T_OrdenesTrabajo[ID_OT],0)))</f>
        <v>549400</v>
      </c>
      <c r="J29" s="20" t="str">
        <f>IFERROR(INDEX(T_OrdenesTrabajo[ID_OT],MATCH(4,T_OrdenesTrabajo[Seq_Incompleta],0)),"")</f>
        <v>OT-0072</v>
      </c>
      <c r="K29" s="20" t="str">
        <f>IF(J29="","",INDEX(T_OrdenesTrabajo[Patente_Bus],MATCH(J29,T_OrdenesTrabajo[ID_OT],0)))</f>
        <v>YJHP-79</v>
      </c>
      <c r="L29" s="21">
        <f>IF(J29="","",SUMIFS(T_DetalleOT[Alerta_Dato],T_DetalleOT[ID_OT],J29))</f>
        <v>1</v>
      </c>
    </row>
    <row r="30" spans="2:12" x14ac:dyDescent="0.25">
      <c r="B30" s="20" t="str">
        <f>IFERROR(INDEX(T_OrdenesTrabajo[ID_OT],MATCH(5,T_OrdenesTrabajo[Seq_Atrasada],0)),"")</f>
        <v>OT-0109</v>
      </c>
      <c r="C30" s="20" t="str">
        <f>IF(B30="","",INDEX(T_OrdenesTrabajo[Patente_Bus],MATCH(B30,T_OrdenesTrabajo[ID_OT],0)))</f>
        <v>KTJH-57</v>
      </c>
      <c r="D30" s="21">
        <f>IF(B30="","",$B$5-INDEX(T_OrdenesTrabajo[Fecha_Compromiso],MATCH(B30,T_OrdenesTrabajo[ID_OT],0)))</f>
        <v>67</v>
      </c>
      <c r="F30" s="20" t="str">
        <f>IFERROR(INDEX(T_OrdenesTrabajo[ID_OT],MATCH(5,T_OrdenesTrabajo[Seq_Pend_Fact],0)),"")</f>
        <v>OT-0107</v>
      </c>
      <c r="G30" s="20" t="str">
        <f>IF(F30="","",INDEX(T_OrdenesTrabajo[Patente_Bus],MATCH(F30,T_OrdenesTrabajo[ID_OT],0)))</f>
        <v>HTCP-28</v>
      </c>
      <c r="H30" s="22">
        <f>IF(F30="","",INDEX(T_OrdenesTrabajo[Monto_Total_Cobrable],MATCH(F30,T_OrdenesTrabajo[ID_OT],0)))</f>
        <v>142160</v>
      </c>
      <c r="J30" s="20" t="str">
        <f>IFERROR(INDEX(T_OrdenesTrabajo[ID_OT],MATCH(5,T_OrdenesTrabajo[Seq_Incompleta],0)),"")</f>
        <v>OT-0101</v>
      </c>
      <c r="K30" s="20" t="str">
        <f>IF(J30="","",INDEX(T_OrdenesTrabajo[Patente_Bus],MATCH(J30,T_OrdenesTrabajo[ID_OT],0)))</f>
        <v>KVHY-74</v>
      </c>
      <c r="L30" s="21">
        <f>IF(J30="","",SUMIFS(T_DetalleOT[Alerta_Dato],T_DetalleOT[ID_OT],J30))</f>
        <v>1</v>
      </c>
    </row>
    <row r="31" spans="2:12" x14ac:dyDescent="0.25">
      <c r="B31" s="20" t="str">
        <f>IFERROR(INDEX(T_OrdenesTrabajo[ID_OT],MATCH(6,T_OrdenesTrabajo[Seq_Atrasada],0)),"")</f>
        <v>OT-0115</v>
      </c>
      <c r="C31" s="20" t="str">
        <f>IF(B31="","",INDEX(T_OrdenesTrabajo[Patente_Bus],MATCH(B31,T_OrdenesTrabajo[ID_OT],0)))</f>
        <v>CFLD-34</v>
      </c>
      <c r="D31" s="21">
        <f>IF(B31="","",$B$5-INDEX(T_OrdenesTrabajo[Fecha_Compromiso],MATCH(B31,T_OrdenesTrabajo[ID_OT],0)))</f>
        <v>61</v>
      </c>
      <c r="F31" s="20" t="str">
        <f>IFERROR(INDEX(T_OrdenesTrabajo[ID_OT],MATCH(6,T_OrdenesTrabajo[Seq_Pend_Fact],0)),"")</f>
        <v>OT-0159</v>
      </c>
      <c r="G31" s="20" t="str">
        <f>IF(F31="","",INDEX(T_OrdenesTrabajo[Patente_Bus],MATCH(F31,T_OrdenesTrabajo[ID_OT],0)))</f>
        <v>HHSL-48</v>
      </c>
      <c r="H31" s="22">
        <f>IF(F31="","",INDEX(T_OrdenesTrabajo[Monto_Total_Cobrable],MATCH(F31,T_OrdenesTrabajo[ID_OT],0)))</f>
        <v>1106980</v>
      </c>
      <c r="J31" s="20" t="str">
        <f>IFERROR(INDEX(T_OrdenesTrabajo[ID_OT],MATCH(6,T_OrdenesTrabajo[Seq_Incompleta],0)),"")</f>
        <v>OT-0115</v>
      </c>
      <c r="K31" s="20" t="str">
        <f>IF(J31="","",INDEX(T_OrdenesTrabajo[Patente_Bus],MATCH(J31,T_OrdenesTrabajo[ID_OT],0)))</f>
        <v>CFLD-34</v>
      </c>
      <c r="L31" s="21">
        <f>IF(J31="","",SUMIFS(T_DetalleOT[Alerta_Dato],T_DetalleOT[ID_OT],J31))</f>
        <v>1</v>
      </c>
    </row>
    <row r="32" spans="2:12" x14ac:dyDescent="0.25">
      <c r="B32" s="20" t="str">
        <f>IFERROR(INDEX(T_OrdenesTrabajo[ID_OT],MATCH(7,T_OrdenesTrabajo[Seq_Atrasada],0)),"")</f>
        <v>OT-0116</v>
      </c>
      <c r="C32" s="20" t="str">
        <f>IF(B32="","",INDEX(T_OrdenesTrabajo[Patente_Bus],MATCH(B32,T_OrdenesTrabajo[ID_OT],0)))</f>
        <v>LJPY-44</v>
      </c>
      <c r="D32" s="21">
        <f>IF(B32="","",$B$5-INDEX(T_OrdenesTrabajo[Fecha_Compromiso],MATCH(B32,T_OrdenesTrabajo[ID_OT],0)))</f>
        <v>55</v>
      </c>
      <c r="F32" s="20" t="str">
        <f>IFERROR(INDEX(T_OrdenesTrabajo[ID_OT],MATCH(7,T_OrdenesTrabajo[Seq_Pend_Fact],0)),"")</f>
        <v>OT-0165</v>
      </c>
      <c r="G32" s="20" t="str">
        <f>IF(F32="","",INDEX(T_OrdenesTrabajo[Patente_Bus],MATCH(F32,T_OrdenesTrabajo[ID_OT],0)))</f>
        <v>SKSX-53</v>
      </c>
      <c r="H32" s="22">
        <f>IF(F32="","",INDEX(T_OrdenesTrabajo[Monto_Total_Cobrable],MATCH(F32,T_OrdenesTrabajo[ID_OT],0)))</f>
        <v>133430</v>
      </c>
      <c r="J32" s="20" t="str">
        <f>IFERROR(INDEX(T_OrdenesTrabajo[ID_OT],MATCH(7,T_OrdenesTrabajo[Seq_Incompleta],0)),"")</f>
        <v>OT-0128</v>
      </c>
      <c r="K32" s="20" t="str">
        <f>IF(J32="","",INDEX(T_OrdenesTrabajo[Patente_Bus],MATCH(J32,T_OrdenesTrabajo[ID_OT],0)))</f>
        <v>HWXT-20</v>
      </c>
      <c r="L32" s="21">
        <f>IF(J32="","",SUMIFS(T_DetalleOT[Alerta_Dato],T_DetalleOT[ID_OT],J32))</f>
        <v>2</v>
      </c>
    </row>
    <row r="33" spans="2:12" x14ac:dyDescent="0.25">
      <c r="B33" s="20" t="str">
        <f>IFERROR(INDEX(T_OrdenesTrabajo[ID_OT],MATCH(8,T_OrdenesTrabajo[Seq_Atrasada],0)),"")</f>
        <v>OT-0132</v>
      </c>
      <c r="C33" s="20" t="str">
        <f>IF(B33="","",INDEX(T_OrdenesTrabajo[Patente_Bus],MATCH(B33,T_OrdenesTrabajo[ID_OT],0)))</f>
        <v>BBYC-90</v>
      </c>
      <c r="D33" s="21">
        <f>IF(B33="","",$B$5-INDEX(T_OrdenesTrabajo[Fecha_Compromiso],MATCH(B33,T_OrdenesTrabajo[ID_OT],0)))</f>
        <v>39</v>
      </c>
      <c r="F33" s="20" t="str">
        <f>IFERROR(INDEX(T_OrdenesTrabajo[ID_OT],MATCH(8,T_OrdenesTrabajo[Seq_Pend_Fact],0)),"")</f>
        <v>OT-0167</v>
      </c>
      <c r="G33" s="20" t="str">
        <f>IF(F33="","",INDEX(T_OrdenesTrabajo[Patente_Bus],MATCH(F33,T_OrdenesTrabajo[ID_OT],0)))</f>
        <v>JBSB-61</v>
      </c>
      <c r="H33" s="22">
        <f>IF(F33="","",INDEX(T_OrdenesTrabajo[Monto_Total_Cobrable],MATCH(F33,T_OrdenesTrabajo[ID_OT],0)))</f>
        <v>735130</v>
      </c>
      <c r="J33" s="20" t="str">
        <f>IFERROR(INDEX(T_OrdenesTrabajo[ID_OT],MATCH(8,T_OrdenesTrabajo[Seq_Incompleta],0)),"")</f>
        <v>OT-0130</v>
      </c>
      <c r="K33" s="20" t="str">
        <f>IF(J33="","",INDEX(T_OrdenesTrabajo[Patente_Bus],MATCH(J33,T_OrdenesTrabajo[ID_OT],0)))</f>
        <v>YFDR-92</v>
      </c>
      <c r="L33" s="21">
        <f>IF(J33="","",SUMIFS(T_DetalleOT[Alerta_Dato],T_DetalleOT[ID_OT],J33))</f>
        <v>1</v>
      </c>
    </row>
    <row r="34" spans="2:12" x14ac:dyDescent="0.25">
      <c r="B34" s="20" t="str">
        <f>IFERROR(INDEX(T_OrdenesTrabajo[ID_OT],MATCH(9,T_OrdenesTrabajo[Seq_Atrasada],0)),"")</f>
        <v>OT-0137</v>
      </c>
      <c r="C34" s="20" t="str">
        <f>IF(B34="","",INDEX(T_OrdenesTrabajo[Patente_Bus],MATCH(B34,T_OrdenesTrabajo[ID_OT],0)))</f>
        <v>HZTY-87</v>
      </c>
      <c r="D34" s="21">
        <f>IF(B34="","",$B$5-INDEX(T_OrdenesTrabajo[Fecha_Compromiso],MATCH(B34,T_OrdenesTrabajo[ID_OT],0)))</f>
        <v>27</v>
      </c>
      <c r="F34" s="20" t="str">
        <f>IFERROR(INDEX(T_OrdenesTrabajo[ID_OT],MATCH(9,T_OrdenesTrabajo[Seq_Pend_Fact],0)),"")</f>
        <v>OT-0171</v>
      </c>
      <c r="G34" s="20" t="str">
        <f>IF(F34="","",INDEX(T_OrdenesTrabajo[Patente_Bus],MATCH(F34,T_OrdenesTrabajo[ID_OT],0)))</f>
        <v>SPJG-50</v>
      </c>
      <c r="H34" s="22">
        <f>IF(F34="","",INDEX(T_OrdenesTrabajo[Monto_Total_Cobrable],MATCH(F34,T_OrdenesTrabajo[ID_OT],0)))</f>
        <v>188640</v>
      </c>
      <c r="J34" s="20" t="str">
        <f>IFERROR(INDEX(T_OrdenesTrabajo[ID_OT],MATCH(9,T_OrdenesTrabajo[Seq_Incompleta],0)),"")</f>
        <v>OT-0134</v>
      </c>
      <c r="K34" s="20" t="str">
        <f>IF(J34="","",INDEX(T_OrdenesTrabajo[Patente_Bus],MATCH(J34,T_OrdenesTrabajo[ID_OT],0)))</f>
        <v>ZXHS-43</v>
      </c>
      <c r="L34" s="21">
        <f>IF(J34="","",SUMIFS(T_DetalleOT[Alerta_Dato],T_DetalleOT[ID_OT],J34))</f>
        <v>1</v>
      </c>
    </row>
    <row r="35" spans="2:12" x14ac:dyDescent="0.25">
      <c r="B35" s="20" t="str">
        <f>IFERROR(INDEX(T_OrdenesTrabajo[ID_OT],MATCH(10,T_OrdenesTrabajo[Seq_Atrasada],0)),"")</f>
        <v>OT-0149</v>
      </c>
      <c r="C35" s="20" t="str">
        <f>IF(B35="","",INDEX(T_OrdenesTrabajo[Patente_Bus],MATCH(B35,T_OrdenesTrabajo[ID_OT],0)))</f>
        <v>WJKW-90</v>
      </c>
      <c r="D35" s="21">
        <f>IF(B35="","",$B$5-INDEX(T_OrdenesTrabajo[Fecha_Compromiso],MATCH(B35,T_OrdenesTrabajo[ID_OT],0)))</f>
        <v>15</v>
      </c>
      <c r="F35" s="20" t="str">
        <f>IFERROR(INDEX(T_OrdenesTrabajo[ID_OT],MATCH(10,T_OrdenesTrabajo[Seq_Pend_Fact],0)),"")</f>
        <v>OT-0175</v>
      </c>
      <c r="G35" s="20" t="str">
        <f>IF(F35="","",INDEX(T_OrdenesTrabajo[Patente_Bus],MATCH(F35,T_OrdenesTrabajo[ID_OT],0)))</f>
        <v>LRWP-21</v>
      </c>
      <c r="H35" s="22">
        <f>IF(F35="","",INDEX(T_OrdenesTrabajo[Monto_Total_Cobrable],MATCH(F35,T_OrdenesTrabajo[ID_OT],0)))</f>
        <v>789780</v>
      </c>
      <c r="J35" s="20" t="str">
        <f>IFERROR(INDEX(T_OrdenesTrabajo[ID_OT],MATCH(10,T_OrdenesTrabajo[Seq_Incompleta],0)),"")</f>
        <v>OT-0141</v>
      </c>
      <c r="K35" s="20" t="str">
        <f>IF(J35="","",INDEX(T_OrdenesTrabajo[Patente_Bus],MATCH(J35,T_OrdenesTrabajo[ID_OT],0)))</f>
        <v>RWBB-77</v>
      </c>
      <c r="L35" s="21">
        <f>IF(J35="","",SUMIFS(T_DetalleOT[Alerta_Dato],T_DetalleOT[ID_OT],J35))</f>
        <v>1</v>
      </c>
    </row>
    <row r="36" spans="2:12" x14ac:dyDescent="0.25">
      <c r="B36" s="20" t="str">
        <f>IFERROR(INDEX(T_OrdenesTrabajo[ID_OT],MATCH(11,T_OrdenesTrabajo[Seq_Atrasada],0)),"")</f>
        <v>OT-0169</v>
      </c>
      <c r="C36" s="20" t="str">
        <f>IF(B36="","",INDEX(T_OrdenesTrabajo[Patente_Bus],MATCH(B36,T_OrdenesTrabajo[ID_OT],0)))</f>
        <v>SFBJ-83</v>
      </c>
      <c r="D36" s="21">
        <f>IF(B36="","",$B$5-INDEX(T_OrdenesTrabajo[Fecha_Compromiso],MATCH(B36,T_OrdenesTrabajo[ID_OT],0)))</f>
        <v>11</v>
      </c>
      <c r="F36" s="20" t="str">
        <f>IFERROR(INDEX(T_OrdenesTrabajo[ID_OT],MATCH(11,T_OrdenesTrabajo[Seq_Pend_Fact],0)),"")</f>
        <v/>
      </c>
      <c r="G36" s="20" t="str">
        <f>IF(F36="","",INDEX(T_OrdenesTrabajo[Patente_Bus],MATCH(F36,T_OrdenesTrabajo[ID_OT],0)))</f>
        <v/>
      </c>
      <c r="H36" s="22" t="str">
        <f>IF(F36="","",INDEX(T_OrdenesTrabajo[Monto_Total_Cobrable],MATCH(F36,T_OrdenesTrabajo[ID_OT],0)))</f>
        <v/>
      </c>
      <c r="J36" s="20" t="str">
        <f>IFERROR(INDEX(T_OrdenesTrabajo[ID_OT],MATCH(11,T_OrdenesTrabajo[Seq_Incompleta],0)),"")</f>
        <v>OT-0145</v>
      </c>
      <c r="K36" s="20" t="str">
        <f>IF(J36="","",INDEX(T_OrdenesTrabajo[Patente_Bus],MATCH(J36,T_OrdenesTrabajo[ID_OT],0)))</f>
        <v>XBKZ-17</v>
      </c>
      <c r="L36" s="21">
        <f>IF(J36="","",SUMIFS(T_DetalleOT[Alerta_Dato],T_DetalleOT[ID_OT],J36))</f>
        <v>1</v>
      </c>
    </row>
    <row r="37" spans="2:12" x14ac:dyDescent="0.25">
      <c r="B37" s="20" t="str">
        <f>IFERROR(INDEX(T_OrdenesTrabajo[ID_OT],MATCH(12,T_OrdenesTrabajo[Seq_Atrasada],0)),"")</f>
        <v>OT-0176</v>
      </c>
      <c r="C37" s="20" t="str">
        <f>IF(B37="","",INDEX(T_OrdenesTrabajo[Patente_Bus],MATCH(B37,T_OrdenesTrabajo[ID_OT],0)))</f>
        <v>TCKP-77</v>
      </c>
      <c r="D37" s="21">
        <f>IF(B37="","",$B$5-INDEX(T_OrdenesTrabajo[Fecha_Compromiso],MATCH(B37,T_OrdenesTrabajo[ID_OT],0)))</f>
        <v>2</v>
      </c>
      <c r="F37" s="20" t="str">
        <f>IFERROR(INDEX(T_OrdenesTrabajo[ID_OT],MATCH(12,T_OrdenesTrabajo[Seq_Pend_Fact],0)),"")</f>
        <v/>
      </c>
      <c r="G37" s="20" t="str">
        <f>IF(F37="","",INDEX(T_OrdenesTrabajo[Patente_Bus],MATCH(F37,T_OrdenesTrabajo[ID_OT],0)))</f>
        <v/>
      </c>
      <c r="H37" s="22" t="str">
        <f>IF(F37="","",INDEX(T_OrdenesTrabajo[Monto_Total_Cobrable],MATCH(F37,T_OrdenesTrabajo[ID_OT],0)))</f>
        <v/>
      </c>
      <c r="J37" s="20" t="str">
        <f>IFERROR(INDEX(T_OrdenesTrabajo[ID_OT],MATCH(12,T_OrdenesTrabajo[Seq_Incompleta],0)),"")</f>
        <v>OT-0169</v>
      </c>
      <c r="K37" s="20" t="str">
        <f>IF(J37="","",INDEX(T_OrdenesTrabajo[Patente_Bus],MATCH(J37,T_OrdenesTrabajo[ID_OT],0)))</f>
        <v>SFBJ-83</v>
      </c>
      <c r="L37" s="21">
        <f>IF(J37="","",SUMIFS(T_DetalleOT[Alerta_Dato],T_DetalleOT[ID_OT],J37))</f>
        <v>1</v>
      </c>
    </row>
    <row r="38" spans="2:12" x14ac:dyDescent="0.25">
      <c r="B38" s="100" t="s">
        <v>1791</v>
      </c>
      <c r="C38" s="56"/>
      <c r="D38" s="56"/>
      <c r="E38" s="56"/>
      <c r="F38" s="56"/>
      <c r="G38" s="56"/>
      <c r="H38" s="56"/>
      <c r="I38" s="56"/>
      <c r="J38" s="56"/>
      <c r="K38" s="56"/>
      <c r="L38" s="56"/>
    </row>
    <row r="40" spans="2:12" x14ac:dyDescent="0.25">
      <c r="B40" s="90" t="s">
        <v>1792</v>
      </c>
      <c r="C40" s="91"/>
      <c r="D40" s="91"/>
      <c r="E40" s="91"/>
      <c r="F40" s="91"/>
      <c r="G40" s="91"/>
      <c r="H40" s="91"/>
      <c r="I40" s="91"/>
      <c r="J40" s="91"/>
      <c r="K40" s="91"/>
      <c r="L40" s="91"/>
    </row>
  </sheetData>
  <mergeCells count="46">
    <mergeCell ref="B40:L40"/>
    <mergeCell ref="D9:E9"/>
    <mergeCell ref="D12:E12"/>
    <mergeCell ref="F9:G9"/>
    <mergeCell ref="D8:E8"/>
    <mergeCell ref="H12:I12"/>
    <mergeCell ref="J12:K12"/>
    <mergeCell ref="B15:L15"/>
    <mergeCell ref="H18:I18"/>
    <mergeCell ref="C19:D19"/>
    <mergeCell ref="H8:I8"/>
    <mergeCell ref="J8:K8"/>
    <mergeCell ref="F24:H24"/>
    <mergeCell ref="B38:L38"/>
    <mergeCell ref="H16:I16"/>
    <mergeCell ref="H19:I19"/>
    <mergeCell ref="F13:G13"/>
    <mergeCell ref="B9:C9"/>
    <mergeCell ref="C17:D17"/>
    <mergeCell ref="H13:I13"/>
    <mergeCell ref="B1:L1"/>
    <mergeCell ref="H17:I17"/>
    <mergeCell ref="B13:C13"/>
    <mergeCell ref="F8:G8"/>
    <mergeCell ref="C21:D21"/>
    <mergeCell ref="J4:L5"/>
    <mergeCell ref="H5:I5"/>
    <mergeCell ref="F5:G5"/>
    <mergeCell ref="B2:L2"/>
    <mergeCell ref="B8:C8"/>
    <mergeCell ref="B23:L23"/>
    <mergeCell ref="B24:D24"/>
    <mergeCell ref="J24:L24"/>
    <mergeCell ref="H20:I20"/>
    <mergeCell ref="B7:L7"/>
    <mergeCell ref="J13:K13"/>
    <mergeCell ref="C18:D18"/>
    <mergeCell ref="H9:I9"/>
    <mergeCell ref="J9:K9"/>
    <mergeCell ref="B12:C12"/>
    <mergeCell ref="C20:D20"/>
    <mergeCell ref="H21:I21"/>
    <mergeCell ref="F12:G12"/>
    <mergeCell ref="C16:D16"/>
    <mergeCell ref="D13:E13"/>
    <mergeCell ref="B11:L11"/>
  </mergeCells>
  <conditionalFormatting sqref="B26:D37">
    <cfRule type="expression" dxfId="14" priority="9">
      <formula>LEN($B26)&gt;0</formula>
    </cfRule>
  </conditionalFormatting>
  <conditionalFormatting sqref="F9:G9">
    <cfRule type="expression" dxfId="13" priority="6">
      <formula>$F$9&gt;0</formula>
    </cfRule>
  </conditionalFormatting>
  <conditionalFormatting sqref="F26:H37">
    <cfRule type="expression" dxfId="12" priority="10">
      <formula>LEN($F26)&gt;0</formula>
    </cfRule>
  </conditionalFormatting>
  <conditionalFormatting sqref="H9:I9">
    <cfRule type="expression" dxfId="11" priority="7">
      <formula>$H$9&lt;0.8</formula>
    </cfRule>
    <cfRule type="expression" dxfId="10" priority="8">
      <formula>$H$9&gt;=0.8</formula>
    </cfRule>
  </conditionalFormatting>
  <conditionalFormatting sqref="H13:I13">
    <cfRule type="expression" dxfId="9" priority="5">
      <formula>$H$13&lt;0</formula>
    </cfRule>
  </conditionalFormatting>
  <conditionalFormatting sqref="J13:K13">
    <cfRule type="expression" dxfId="8" priority="2">
      <formula>$J$13&lt;0</formula>
    </cfRule>
    <cfRule type="expression" dxfId="7" priority="3">
      <formula>AND($J$13&gt;=0,$J$13&lt;0.15)</formula>
    </cfRule>
    <cfRule type="expression" dxfId="6" priority="4">
      <formula>$J$13&gt;=0.15</formula>
    </cfRule>
  </conditionalFormatting>
  <conditionalFormatting sqref="J26:L37">
    <cfRule type="expression" dxfId="5" priority="11">
      <formula>LEN($J26)&gt;0</formula>
    </cfRule>
  </conditionalFormatting>
  <dataValidations count="3">
    <dataValidation type="list" sqref="D5" xr:uid="{00000000-0002-0000-0900-000000000000}">
      <formula1>"Todos,2026-05,2026-06,2026-07,2026-08,2026-09,2026-10"</formula1>
      <formula2>0</formula2>
    </dataValidation>
    <dataValidation type="list" sqref="F5" xr:uid="{00000000-0002-0000-0900-000001000000}">
      <formula1>"Todos,Preventivo,Correctivo/Mecánica,Siniestro/Carrocería"</formula1>
      <formula2>0</formula2>
    </dataValidation>
    <dataValidation type="list" sqref="H5" xr:uid="{00000000-0002-0000-0900-000002000000}">
      <formula1>"Todos,En Curso,Terminada,Entregada,Reprogramada"</formula1>
      <formula2>0</formula2>
    </dataValidation>
  </dataValidations>
  <pageMargins left="0.75" right="0.75" top="1" bottom="1" header="0.511811023622047" footer="0.511811023622047"/>
  <pageSetup paperSize="9" orientation="portrait" horizontalDpi="300" verticalDpi="300"/>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B1:M21"/>
  <sheetViews>
    <sheetView workbookViewId="0">
      <selection activeCell="E6" sqref="E6"/>
    </sheetView>
  </sheetViews>
  <sheetFormatPr baseColWidth="10" defaultColWidth="9.140625" defaultRowHeight="15" x14ac:dyDescent="0.25"/>
  <cols>
    <col min="2" max="2" width="22" customWidth="1"/>
    <col min="3" max="3" width="25" customWidth="1"/>
    <col min="4" max="11" width="22" customWidth="1"/>
  </cols>
  <sheetData>
    <row r="1" spans="2:13" ht="18.75" x14ac:dyDescent="0.25">
      <c r="B1" s="69" t="s">
        <v>119</v>
      </c>
      <c r="C1" s="56"/>
      <c r="D1" s="56"/>
      <c r="E1" s="56"/>
      <c r="F1" s="56"/>
      <c r="G1" s="56"/>
      <c r="H1" s="56"/>
      <c r="I1" s="56"/>
      <c r="J1" s="56"/>
      <c r="K1" s="56"/>
      <c r="L1" s="56"/>
      <c r="M1" s="56"/>
    </row>
    <row r="2" spans="2:13" x14ac:dyDescent="0.25">
      <c r="B2" s="65" t="s">
        <v>120</v>
      </c>
      <c r="C2" s="56"/>
      <c r="D2" s="56"/>
      <c r="E2" s="56"/>
      <c r="F2" s="56"/>
      <c r="G2" s="56"/>
      <c r="H2" s="56"/>
      <c r="I2" s="56"/>
      <c r="J2" s="56"/>
      <c r="K2" s="56"/>
      <c r="L2" s="56"/>
      <c r="M2" s="56"/>
    </row>
    <row r="4" spans="2:13" x14ac:dyDescent="0.25">
      <c r="B4" s="38" t="s">
        <v>121</v>
      </c>
    </row>
    <row r="5" spans="2:13" ht="15.75" thickBot="1" x14ac:dyDescent="0.3">
      <c r="B5" s="55" t="s">
        <v>122</v>
      </c>
      <c r="C5" s="56"/>
      <c r="D5" s="56"/>
      <c r="F5" s="78" t="s">
        <v>123</v>
      </c>
      <c r="G5" s="56"/>
      <c r="H5" s="56"/>
      <c r="J5" s="74" t="s">
        <v>124</v>
      </c>
      <c r="K5" s="56"/>
      <c r="L5" s="56"/>
    </row>
    <row r="6" spans="2:13" ht="15.75" x14ac:dyDescent="0.25">
      <c r="B6" s="107" t="str">
        <f>INDEX(Maestro_Tecnicos!$B$2:$B$9, MATCH(MAX(Dashboard_Mecanicos!$E$13:$E$20), Dashboard_Mecanicos!$E$13:$E$20, 0))</f>
        <v>Marcelo Fuentes</v>
      </c>
      <c r="C6" s="108"/>
      <c r="D6" s="109"/>
      <c r="F6" s="83" t="str">
        <f>INDEX(Maestro_Tecnicos!$B$2:$B$9, MATCH(MAX(Dashboard_Mecanicos!$I$13:$I$20), Dashboard_Mecanicos!$I$13:$I$20, 0))</f>
        <v>Daniela Mora</v>
      </c>
      <c r="G6" s="56"/>
      <c r="H6" s="56"/>
      <c r="J6" s="82" t="str">
        <f>INDEX(Maestro_Tecnicos!$B$2:$B$9, MATCH(MAX(Dashboard_Mecanicos!$J$13:$J$20), Dashboard_Mecanicos!$J$13:$J$20, 0))</f>
        <v>Daniela Mora</v>
      </c>
      <c r="K6" s="56"/>
      <c r="L6" s="56"/>
    </row>
    <row r="7" spans="2:13" ht="21.75" thickBot="1" x14ac:dyDescent="0.3">
      <c r="B7" s="110">
        <f>MAX(Dashboard_Mecanicos!$E$13:$E$20)</f>
        <v>43</v>
      </c>
      <c r="C7" s="111"/>
      <c r="D7" s="104" t="s">
        <v>125</v>
      </c>
      <c r="F7" s="84">
        <f>MAX(Dashboard_Mecanicos!$I$13:$I$20)</f>
        <v>18254500</v>
      </c>
      <c r="G7" s="85"/>
      <c r="H7" s="60"/>
      <c r="J7" s="80">
        <f>MAX(Dashboard_Mecanicos!$J$13:$J$20)</f>
        <v>8062860</v>
      </c>
      <c r="K7" s="81"/>
      <c r="L7" s="54"/>
    </row>
    <row r="8" spans="2:13" ht="18.75" x14ac:dyDescent="0.3">
      <c r="F8" s="86" t="s">
        <v>126</v>
      </c>
      <c r="G8" s="56"/>
      <c r="H8" s="56"/>
      <c r="J8" s="105">
        <f>MAX(Dashboard_Mecanicos!$J$13:$J$20)/$J$21</f>
        <v>0.2407237063077991</v>
      </c>
      <c r="K8" s="106"/>
      <c r="L8" s="106"/>
    </row>
    <row r="10" spans="2:13" x14ac:dyDescent="0.25">
      <c r="B10" s="38" t="s">
        <v>127</v>
      </c>
    </row>
    <row r="11" spans="2:13" x14ac:dyDescent="0.25">
      <c r="B11" s="50" t="s">
        <v>127</v>
      </c>
      <c r="C11" s="39" t="s">
        <v>128</v>
      </c>
      <c r="D11" s="39" t="s">
        <v>129</v>
      </c>
      <c r="E11" s="39" t="s">
        <v>130</v>
      </c>
      <c r="F11" s="39" t="s">
        <v>131</v>
      </c>
      <c r="G11" s="39" t="s">
        <v>132</v>
      </c>
      <c r="H11" s="39" t="s">
        <v>133</v>
      </c>
      <c r="I11" s="39" t="s">
        <v>134</v>
      </c>
      <c r="J11" s="39" t="s">
        <v>135</v>
      </c>
      <c r="K11" s="39" t="s">
        <v>136</v>
      </c>
    </row>
    <row r="12" spans="2:13" x14ac:dyDescent="0.25">
      <c r="B12" s="39" t="s">
        <v>137</v>
      </c>
      <c r="C12" s="39" t="s">
        <v>128</v>
      </c>
      <c r="D12" s="39" t="s">
        <v>129</v>
      </c>
      <c r="E12" s="39" t="s">
        <v>130</v>
      </c>
      <c r="F12" s="39" t="s">
        <v>131</v>
      </c>
      <c r="G12" s="39" t="s">
        <v>132</v>
      </c>
      <c r="H12" s="39" t="s">
        <v>133</v>
      </c>
      <c r="I12" s="51" t="s">
        <v>134</v>
      </c>
      <c r="J12" s="51" t="s">
        <v>135</v>
      </c>
      <c r="K12" s="52" t="s">
        <v>136</v>
      </c>
    </row>
    <row r="13" spans="2:13" x14ac:dyDescent="0.25">
      <c r="B13" t="str">
        <f>Maestro_Tecnicos!A2</f>
        <v>TEC-01</v>
      </c>
      <c r="C13" t="str">
        <f>Maestro_Tecnicos!B2</f>
        <v>Marcelo Fuentes</v>
      </c>
      <c r="D13" t="str">
        <f>Maestro_Tecnicos!C2</f>
        <v>Mecánica General</v>
      </c>
      <c r="E13">
        <f>COUNTIF(Registro_OT!$H$2:$H$181, C13)</f>
        <v>43</v>
      </c>
      <c r="F13">
        <f>COUNTIFS(Registro_OT!$H$2:$H$181, C13, Registro_OT!$D$2:$D$181, "Preventivo")</f>
        <v>26</v>
      </c>
      <c r="G13">
        <f>COUNTIFS(Registro_OT!$H$2:$H$181, C13, Registro_OT!$D$2:$D$181, "Correctivo/Falla")</f>
        <v>0</v>
      </c>
      <c r="H13">
        <f>COUNTIFS(Registro_OT!$H$2:$H$181, C13, Registro_OT!$D$2:$D$181, "Siniestro/Carrocería")</f>
        <v>2</v>
      </c>
      <c r="I13" s="40">
        <f>SUMIF(Registro_OT!$H$2:$H$181, C13, Registro_OT!$T$2:$T$181)</f>
        <v>16388220</v>
      </c>
      <c r="J13" s="40">
        <f>SUMIF(Registro_OT!$H$2:$H$181, C13, Registro_OT!$AA$2:$AA$181)</f>
        <v>4978050</v>
      </c>
      <c r="K13" s="46">
        <f t="shared" ref="K13:K20" si="0">IF($J$21&gt;0, J13/$J$21, 0)</f>
        <v>0.14862401755525201</v>
      </c>
    </row>
    <row r="14" spans="2:13" x14ac:dyDescent="0.25">
      <c r="B14" t="str">
        <f>Maestro_Tecnicos!A3</f>
        <v>TEC-02</v>
      </c>
      <c r="C14" t="str">
        <f>Maestro_Tecnicos!B3</f>
        <v>Cristian Araya</v>
      </c>
      <c r="D14" t="str">
        <f>Maestro_Tecnicos!C3</f>
        <v>Mecánica General</v>
      </c>
      <c r="E14">
        <f>COUNTIF(Registro_OT!$H$2:$H$181, C14)</f>
        <v>41</v>
      </c>
      <c r="F14">
        <f>COUNTIFS(Registro_OT!$H$2:$H$181, C14, Registro_OT!$D$2:$D$181, "Preventivo")</f>
        <v>19</v>
      </c>
      <c r="G14">
        <f>COUNTIFS(Registro_OT!$H$2:$H$181, C14, Registro_OT!$D$2:$D$181, "Correctivo/Falla")</f>
        <v>0</v>
      </c>
      <c r="H14">
        <f>COUNTIFS(Registro_OT!$H$2:$H$181, C14, Registro_OT!$D$2:$D$181, "Siniestro/Carrocería")</f>
        <v>3</v>
      </c>
      <c r="I14" s="40">
        <f>SUMIF(Registro_OT!$H$2:$H$181, C14, Registro_OT!$T$2:$T$181)</f>
        <v>14376150</v>
      </c>
      <c r="J14" s="40">
        <f>SUMIF(Registro_OT!$H$2:$H$181, C14, Registro_OT!$AA$2:$AA$181)</f>
        <v>4911870</v>
      </c>
      <c r="K14" s="46">
        <f t="shared" si="0"/>
        <v>0.14664815602678072</v>
      </c>
    </row>
    <row r="15" spans="2:13" x14ac:dyDescent="0.25">
      <c r="B15" t="str">
        <f>Maestro_Tecnicos!A4</f>
        <v>TEC-03</v>
      </c>
      <c r="C15" t="str">
        <f>Maestro_Tecnicos!B4</f>
        <v>Luis Contreras</v>
      </c>
      <c r="D15" t="str">
        <f>Maestro_Tecnicos!C4</f>
        <v>Mecánica General</v>
      </c>
      <c r="E15">
        <f>COUNTIF(Registro_OT!$H$2:$H$181, C15)</f>
        <v>37</v>
      </c>
      <c r="F15">
        <f>COUNTIFS(Registro_OT!$H$2:$H$181, C15, Registro_OT!$D$2:$D$181, "Preventivo")</f>
        <v>20</v>
      </c>
      <c r="G15">
        <f>COUNTIFS(Registro_OT!$H$2:$H$181, C15, Registro_OT!$D$2:$D$181, "Correctivo/Falla")</f>
        <v>0</v>
      </c>
      <c r="H15">
        <f>COUNTIFS(Registro_OT!$H$2:$H$181, C15, Registro_OT!$D$2:$D$181, "Siniestro/Carrocería")</f>
        <v>0</v>
      </c>
      <c r="I15" s="40">
        <f>SUMIF(Registro_OT!$H$2:$H$181, C15, Registro_OT!$T$2:$T$181)</f>
        <v>13057260</v>
      </c>
      <c r="J15" s="40">
        <f>SUMIF(Registro_OT!$H$2:$H$181, C15, Registro_OT!$AA$2:$AA$181)</f>
        <v>4716150</v>
      </c>
      <c r="K15" s="46">
        <f t="shared" si="0"/>
        <v>0.14080476499697708</v>
      </c>
    </row>
    <row r="16" spans="2:13" x14ac:dyDescent="0.25">
      <c r="B16" t="str">
        <f>Maestro_Tecnicos!A5</f>
        <v>TEC-04</v>
      </c>
      <c r="C16" t="str">
        <f>Maestro_Tecnicos!B5</f>
        <v>Patricio Rojas</v>
      </c>
      <c r="D16" t="str">
        <f>Maestro_Tecnicos!C5</f>
        <v>Carrocería/Siniestros</v>
      </c>
      <c r="E16">
        <f>COUNTIF(Registro_OT!$H$2:$H$181, C16)</f>
        <v>10</v>
      </c>
      <c r="F16">
        <f>COUNTIFS(Registro_OT!$H$2:$H$181, C16, Registro_OT!$D$2:$D$181, "Preventivo")</f>
        <v>0</v>
      </c>
      <c r="G16">
        <f>COUNTIFS(Registro_OT!$H$2:$H$181, C16, Registro_OT!$D$2:$D$181, "Correctivo/Falla")</f>
        <v>0</v>
      </c>
      <c r="H16">
        <f>COUNTIFS(Registro_OT!$H$2:$H$181, C16, Registro_OT!$D$2:$D$181, "Siniestro/Carrocería")</f>
        <v>10</v>
      </c>
      <c r="I16" s="40">
        <f>SUMIF(Registro_OT!$H$2:$H$181, C16, Registro_OT!$T$2:$T$181)</f>
        <v>10856270</v>
      </c>
      <c r="J16" s="40">
        <f>SUMIF(Registro_OT!$H$2:$H$181, C16, Registro_OT!$AA$2:$AA$181)</f>
        <v>3786660</v>
      </c>
      <c r="K16" s="46">
        <f t="shared" si="0"/>
        <v>0.11305403166215097</v>
      </c>
    </row>
    <row r="17" spans="2:11" x14ac:dyDescent="0.25">
      <c r="B17" t="str">
        <f>Maestro_Tecnicos!A6</f>
        <v>TEC-05</v>
      </c>
      <c r="C17" t="str">
        <f>Maestro_Tecnicos!B6</f>
        <v>Sergio Valdés</v>
      </c>
      <c r="D17" t="str">
        <f>Maestro_Tecnicos!C6</f>
        <v>Carrocería/Siniestros</v>
      </c>
      <c r="E17">
        <f>COUNTIF(Registro_OT!$H$2:$H$181, C17)</f>
        <v>9</v>
      </c>
      <c r="F17">
        <f>COUNTIFS(Registro_OT!$H$2:$H$181, C17, Registro_OT!$D$2:$D$181, "Preventivo")</f>
        <v>0</v>
      </c>
      <c r="G17">
        <f>COUNTIFS(Registro_OT!$H$2:$H$181, C17, Registro_OT!$D$2:$D$181, "Correctivo/Falla")</f>
        <v>0</v>
      </c>
      <c r="H17">
        <f>COUNTIFS(Registro_OT!$H$2:$H$181, C17, Registro_OT!$D$2:$D$181, "Siniestro/Carrocería")</f>
        <v>9</v>
      </c>
      <c r="I17" s="40">
        <f>SUMIF(Registro_OT!$H$2:$H$181, C17, Registro_OT!$T$2:$T$181)</f>
        <v>10847760</v>
      </c>
      <c r="J17" s="40">
        <f>SUMIF(Registro_OT!$H$2:$H$181, C17, Registro_OT!$AA$2:$AA$181)</f>
        <v>3649520</v>
      </c>
      <c r="K17" s="46">
        <f t="shared" si="0"/>
        <v>0.10895959754286183</v>
      </c>
    </row>
    <row r="18" spans="2:11" x14ac:dyDescent="0.25">
      <c r="B18" t="str">
        <f>Maestro_Tecnicos!A7</f>
        <v>TEC-06</v>
      </c>
      <c r="C18" t="str">
        <f>Maestro_Tecnicos!B7</f>
        <v>Daniela Mora</v>
      </c>
      <c r="D18" t="str">
        <f>Maestro_Tecnicos!C7</f>
        <v>Carrocería/Siniestros</v>
      </c>
      <c r="E18">
        <f>COUNTIF(Registro_OT!$H$2:$H$181, C18)</f>
        <v>17</v>
      </c>
      <c r="F18">
        <f>COUNTIFS(Registro_OT!$H$2:$H$181, C18, Registro_OT!$D$2:$D$181, "Preventivo")</f>
        <v>0</v>
      </c>
      <c r="G18">
        <f>COUNTIFS(Registro_OT!$H$2:$H$181, C18, Registro_OT!$D$2:$D$181, "Correctivo/Falla")</f>
        <v>0</v>
      </c>
      <c r="H18">
        <f>COUNTIFS(Registro_OT!$H$2:$H$181, C18, Registro_OT!$D$2:$D$181, "Siniestro/Carrocería")</f>
        <v>17</v>
      </c>
      <c r="I18" s="40">
        <f>SUMIF(Registro_OT!$H$2:$H$181, C18, Registro_OT!$T$2:$T$181)</f>
        <v>18254500</v>
      </c>
      <c r="J18" s="40">
        <f>SUMIF(Registro_OT!$H$2:$H$181, C18, Registro_OT!$AA$2:$AA$181)</f>
        <v>8062860</v>
      </c>
      <c r="K18" s="46">
        <f t="shared" si="0"/>
        <v>0.2407237063077991</v>
      </c>
    </row>
    <row r="19" spans="2:11" x14ac:dyDescent="0.25">
      <c r="B19" t="str">
        <f>Maestro_Tecnicos!A8</f>
        <v>TEC-07</v>
      </c>
      <c r="C19" t="str">
        <f>Maestro_Tecnicos!B8</f>
        <v>Héctor Pizarro</v>
      </c>
      <c r="D19" t="str">
        <f>Maestro_Tecnicos!C8</f>
        <v>Electricidad</v>
      </c>
      <c r="E19">
        <f>COUNTIF(Registro_OT!$H$2:$H$181, C19)</f>
        <v>10</v>
      </c>
      <c r="F19">
        <f>COUNTIFS(Registro_OT!$H$2:$H$181, C19, Registro_OT!$D$2:$D$181, "Preventivo")</f>
        <v>3</v>
      </c>
      <c r="G19">
        <f>COUNTIFS(Registro_OT!$H$2:$H$181, C19, Registro_OT!$D$2:$D$181, "Correctivo/Falla")</f>
        <v>0</v>
      </c>
      <c r="H19">
        <f>COUNTIFS(Registro_OT!$H$2:$H$181, C19, Registro_OT!$D$2:$D$181, "Siniestro/Carrocería")</f>
        <v>0</v>
      </c>
      <c r="I19" s="40">
        <f>SUMIF(Registro_OT!$H$2:$H$181, C19, Registro_OT!$T$2:$T$181)</f>
        <v>5105890</v>
      </c>
      <c r="J19" s="40">
        <f>SUMIF(Registro_OT!$H$2:$H$181, C19, Registro_OT!$AA$2:$AA$181)</f>
        <v>1619300</v>
      </c>
      <c r="K19" s="46">
        <f t="shared" si="0"/>
        <v>4.8345611560193166E-2</v>
      </c>
    </row>
    <row r="20" spans="2:11" x14ac:dyDescent="0.25">
      <c r="B20" t="str">
        <f>Maestro_Tecnicos!A9</f>
        <v>TEC-08</v>
      </c>
      <c r="C20" s="37" t="str">
        <f>Maestro_Tecnicos!B9</f>
        <v>Andrea Salinas</v>
      </c>
      <c r="D20" t="str">
        <f>Maestro_Tecnicos!C9</f>
        <v>Electricidad</v>
      </c>
      <c r="E20" s="37">
        <f>COUNTIF(Registro_OT!$H$2:$H$181, C20)</f>
        <v>13</v>
      </c>
      <c r="F20" s="37">
        <f>COUNTIFS(Registro_OT!$H$2:$H$181, C20, Registro_OT!$D$2:$D$181, "Preventivo")</f>
        <v>8</v>
      </c>
      <c r="G20" s="37">
        <f>COUNTIFS(Registro_OT!$H$2:$H$181, C20, Registro_OT!$D$2:$D$181, "Correctivo/Falla")</f>
        <v>0</v>
      </c>
      <c r="H20" s="37">
        <f>COUNTIFS(Registro_OT!$H$2:$H$181, C20, Registro_OT!$D$2:$D$181, "Siniestro/Carrocería")</f>
        <v>0</v>
      </c>
      <c r="I20" s="47">
        <f>SUMIF(Registro_OT!$H$2:$H$181, C20, Registro_OT!$T$2:$T$181)</f>
        <v>4755850</v>
      </c>
      <c r="J20" s="47">
        <f>SUMIF(Registro_OT!$H$2:$H$181, C20, Registro_OT!$AA$2:$AA$181)</f>
        <v>1769840</v>
      </c>
      <c r="K20" s="48">
        <f t="shared" si="0"/>
        <v>5.28401143479851E-2</v>
      </c>
    </row>
    <row r="21" spans="2:11" x14ac:dyDescent="0.25">
      <c r="C21" s="37" t="s">
        <v>138</v>
      </c>
      <c r="E21" s="37">
        <f t="shared" ref="E21:K21" si="1">SUM(E13:E20)</f>
        <v>180</v>
      </c>
      <c r="F21" s="37">
        <f t="shared" si="1"/>
        <v>76</v>
      </c>
      <c r="G21" s="37">
        <f t="shared" si="1"/>
        <v>0</v>
      </c>
      <c r="H21" s="37">
        <f t="shared" si="1"/>
        <v>41</v>
      </c>
      <c r="I21" s="47">
        <f t="shared" si="1"/>
        <v>93641900</v>
      </c>
      <c r="J21" s="47">
        <f t="shared" si="1"/>
        <v>33494250</v>
      </c>
      <c r="K21" s="48">
        <f t="shared" si="1"/>
        <v>0.99999999999999989</v>
      </c>
    </row>
  </sheetData>
  <mergeCells count="13">
    <mergeCell ref="F8:H8"/>
    <mergeCell ref="J8:L8"/>
    <mergeCell ref="B1:M1"/>
    <mergeCell ref="B6:D6"/>
    <mergeCell ref="J7:L7"/>
    <mergeCell ref="B2:M2"/>
    <mergeCell ref="J6:L6"/>
    <mergeCell ref="J5:L5"/>
    <mergeCell ref="F6:H6"/>
    <mergeCell ref="F5:H5"/>
    <mergeCell ref="B5:D5"/>
    <mergeCell ref="B7:C7"/>
    <mergeCell ref="F7:H7"/>
  </mergeCell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B1:N23"/>
  <sheetViews>
    <sheetView showGridLines="0" workbookViewId="0">
      <selection activeCell="C24" sqref="C24"/>
    </sheetView>
  </sheetViews>
  <sheetFormatPr baseColWidth="10" defaultColWidth="9.140625" defaultRowHeight="15" x14ac:dyDescent="0.25"/>
  <cols>
    <col min="1" max="1" width="5.7109375" customWidth="1"/>
    <col min="2" max="2" width="20.5703125" customWidth="1"/>
    <col min="3" max="3" width="19.5703125" customWidth="1"/>
  </cols>
  <sheetData>
    <row r="1" spans="2:14" ht="18.75" x14ac:dyDescent="0.25">
      <c r="B1" s="69" t="s">
        <v>139</v>
      </c>
      <c r="C1" s="56"/>
      <c r="D1" s="56"/>
      <c r="E1" s="56"/>
      <c r="F1" s="56"/>
      <c r="G1" s="56"/>
      <c r="H1" s="56"/>
      <c r="I1" s="56"/>
      <c r="J1" s="56"/>
      <c r="K1" s="56"/>
      <c r="L1" s="56"/>
      <c r="M1" s="56"/>
      <c r="N1" s="56"/>
    </row>
    <row r="2" spans="2:14" x14ac:dyDescent="0.25">
      <c r="B2" s="65" t="s">
        <v>140</v>
      </c>
      <c r="C2" s="56"/>
      <c r="D2" s="56"/>
      <c r="E2" s="56"/>
      <c r="F2" s="56"/>
      <c r="G2" s="56"/>
      <c r="H2" s="56"/>
      <c r="I2" s="56"/>
      <c r="J2" s="56"/>
      <c r="K2" s="56"/>
      <c r="L2" s="56"/>
      <c r="M2" s="56"/>
      <c r="N2" s="56"/>
    </row>
    <row r="4" spans="2:14" x14ac:dyDescent="0.25">
      <c r="B4" s="38" t="s">
        <v>141</v>
      </c>
    </row>
    <row r="5" spans="2:14" x14ac:dyDescent="0.25">
      <c r="B5" s="49" t="s">
        <v>142</v>
      </c>
      <c r="C5" s="49" t="s">
        <v>143</v>
      </c>
    </row>
    <row r="6" spans="2:14" x14ac:dyDescent="0.25">
      <c r="B6" t="s">
        <v>144</v>
      </c>
      <c r="C6" s="40">
        <f>SUMIF(Registro_OT!$AD$2:$AD$181, "2026-05", Registro_OT!$T$2:$T$181)</f>
        <v>14788190</v>
      </c>
    </row>
    <row r="7" spans="2:14" x14ac:dyDescent="0.25">
      <c r="B7" t="s">
        <v>145</v>
      </c>
      <c r="C7" s="40">
        <f>SUMIF(Registro_OT!$AD$2:$AD$181, "2026-06", Registro_OT!$T$2:$T$181)</f>
        <v>11815630</v>
      </c>
    </row>
    <row r="8" spans="2:14" x14ac:dyDescent="0.25">
      <c r="B8" t="s">
        <v>146</v>
      </c>
      <c r="C8" s="40">
        <f>SUMIF(Registro_OT!$AD$2:$AD$181, "2026-07", Registro_OT!$T$2:$T$181)</f>
        <v>20371780</v>
      </c>
    </row>
    <row r="9" spans="2:14" x14ac:dyDescent="0.25">
      <c r="B9" t="s">
        <v>147</v>
      </c>
      <c r="C9" s="40">
        <f>SUMIF(Registro_OT!$AD$2:$AD$181, "2026-08", Registro_OT!$T$2:$T$181)</f>
        <v>19596030</v>
      </c>
    </row>
    <row r="10" spans="2:14" x14ac:dyDescent="0.25">
      <c r="B10" t="s">
        <v>148</v>
      </c>
      <c r="C10" s="40">
        <f>SUMIF(Registro_OT!$AD$2:$AD$181, "2026-09", Registro_OT!$T$2:$T$181)</f>
        <v>21306950</v>
      </c>
    </row>
    <row r="11" spans="2:14" x14ac:dyDescent="0.25">
      <c r="B11" t="s">
        <v>149</v>
      </c>
      <c r="C11" s="40">
        <f>SUMIF(Registro_OT!$AD$2:$AD$181, "2026-10", Registro_OT!$T$2:$T$181)</f>
        <v>5763320</v>
      </c>
    </row>
    <row r="14" spans="2:14" x14ac:dyDescent="0.25">
      <c r="B14" s="38" t="s">
        <v>150</v>
      </c>
    </row>
    <row r="15" spans="2:14" x14ac:dyDescent="0.25">
      <c r="B15" s="49" t="s">
        <v>151</v>
      </c>
      <c r="C15" s="49" t="s">
        <v>143</v>
      </c>
    </row>
    <row r="16" spans="2:14" x14ac:dyDescent="0.25">
      <c r="B16" t="str">
        <f>Maestro_Tecnicos!B2</f>
        <v>Marcelo Fuentes</v>
      </c>
      <c r="C16" s="40">
        <f>SUMIF(Registro_OT!$H$2:$H$181, B16, Registro_OT!$T$2:$T$181)</f>
        <v>16388220</v>
      </c>
    </row>
    <row r="17" spans="2:3" x14ac:dyDescent="0.25">
      <c r="B17" t="str">
        <f>Maestro_Tecnicos!B3</f>
        <v>Cristian Araya</v>
      </c>
      <c r="C17" s="40">
        <f>SUMIF(Registro_OT!$H$2:$H$181, B17, Registro_OT!$T$2:$T$181)</f>
        <v>14376150</v>
      </c>
    </row>
    <row r="18" spans="2:3" x14ac:dyDescent="0.25">
      <c r="B18" t="str">
        <f>Maestro_Tecnicos!B4</f>
        <v>Luis Contreras</v>
      </c>
      <c r="C18" s="40">
        <f>SUMIF(Registro_OT!$H$2:$H$181, B18, Registro_OT!$T$2:$T$181)</f>
        <v>13057260</v>
      </c>
    </row>
    <row r="19" spans="2:3" x14ac:dyDescent="0.25">
      <c r="B19" t="str">
        <f>Maestro_Tecnicos!B5</f>
        <v>Patricio Rojas</v>
      </c>
      <c r="C19" s="40">
        <f>SUMIF(Registro_OT!$H$2:$H$181, B19, Registro_OT!$T$2:$T$181)</f>
        <v>10856270</v>
      </c>
    </row>
    <row r="20" spans="2:3" x14ac:dyDescent="0.25">
      <c r="B20" t="str">
        <f>Maestro_Tecnicos!B6</f>
        <v>Sergio Valdés</v>
      </c>
      <c r="C20" s="40">
        <f>SUMIF(Registro_OT!$H$2:$H$181, B20, Registro_OT!$T$2:$T$181)</f>
        <v>10847760</v>
      </c>
    </row>
    <row r="21" spans="2:3" x14ac:dyDescent="0.25">
      <c r="B21" t="str">
        <f>Maestro_Tecnicos!B7</f>
        <v>Daniela Mora</v>
      </c>
      <c r="C21" s="40">
        <f>SUMIF(Registro_OT!$H$2:$H$181, B21, Registro_OT!$T$2:$T$181)</f>
        <v>18254500</v>
      </c>
    </row>
    <row r="22" spans="2:3" x14ac:dyDescent="0.25">
      <c r="B22" t="str">
        <f>Maestro_Tecnicos!B8</f>
        <v>Héctor Pizarro</v>
      </c>
      <c r="C22" s="40">
        <f>SUMIF(Registro_OT!$H$2:$H$181, B22, Registro_OT!$T$2:$T$181)</f>
        <v>5105890</v>
      </c>
    </row>
    <row r="23" spans="2:3" x14ac:dyDescent="0.25">
      <c r="B23" t="str">
        <f>Maestro_Tecnicos!B9</f>
        <v>Andrea Salinas</v>
      </c>
      <c r="C23" s="40">
        <f>SUMIF(Registro_OT!$H$2:$H$181, B23, Registro_OT!$T$2:$T$181)</f>
        <v>4755850</v>
      </c>
    </row>
  </sheetData>
  <mergeCells count="2">
    <mergeCell ref="B1:N1"/>
    <mergeCell ref="B2:N2"/>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B7083"/>
  </sheetPr>
  <dimension ref="A1:D19"/>
  <sheetViews>
    <sheetView zoomScaleNormal="100" workbookViewId="0">
      <pane ySplit="1" topLeftCell="A2" activePane="bottomLeft" state="frozen"/>
      <selection pane="bottomLeft"/>
    </sheetView>
  </sheetViews>
  <sheetFormatPr baseColWidth="10" defaultColWidth="8.7109375" defaultRowHeight="15" x14ac:dyDescent="0.25"/>
  <cols>
    <col min="1" max="1" width="13" customWidth="1"/>
    <col min="2" max="2" width="44" customWidth="1"/>
    <col min="3" max="3" width="24" customWidth="1"/>
    <col min="4" max="4" width="62" customWidth="1"/>
  </cols>
  <sheetData>
    <row r="1" spans="1:4" ht="31.5" customHeight="1" x14ac:dyDescent="0.25">
      <c r="A1" s="7" t="s">
        <v>152</v>
      </c>
      <c r="B1" s="7" t="s">
        <v>153</v>
      </c>
      <c r="C1" s="7" t="s">
        <v>2</v>
      </c>
      <c r="D1" s="7" t="s">
        <v>154</v>
      </c>
    </row>
    <row r="2" spans="1:4" x14ac:dyDescent="0.25">
      <c r="A2" s="8" t="s">
        <v>155</v>
      </c>
      <c r="B2" s="8" t="s">
        <v>156</v>
      </c>
      <c r="C2" s="8" t="s">
        <v>157</v>
      </c>
      <c r="D2" s="8" t="s">
        <v>158</v>
      </c>
    </row>
    <row r="3" spans="1:4" x14ac:dyDescent="0.25">
      <c r="A3" s="8" t="s">
        <v>159</v>
      </c>
      <c r="B3" s="8" t="s">
        <v>160</v>
      </c>
      <c r="C3" s="8" t="s">
        <v>157</v>
      </c>
      <c r="D3" s="8" t="s">
        <v>161</v>
      </c>
    </row>
    <row r="4" spans="1:4" x14ac:dyDescent="0.25">
      <c r="A4" s="8" t="s">
        <v>162</v>
      </c>
      <c r="B4" s="8" t="s">
        <v>163</v>
      </c>
      <c r="C4" s="8" t="s">
        <v>157</v>
      </c>
      <c r="D4" s="8" t="s">
        <v>164</v>
      </c>
    </row>
    <row r="5" spans="1:4" x14ac:dyDescent="0.25">
      <c r="A5" s="8" t="s">
        <v>165</v>
      </c>
      <c r="B5" s="8" t="s">
        <v>166</v>
      </c>
      <c r="C5" s="8" t="s">
        <v>157</v>
      </c>
      <c r="D5" s="8" t="s">
        <v>167</v>
      </c>
    </row>
    <row r="6" spans="1:4" x14ac:dyDescent="0.25">
      <c r="A6" s="8" t="s">
        <v>168</v>
      </c>
      <c r="B6" s="8" t="s">
        <v>169</v>
      </c>
      <c r="C6" s="8" t="s">
        <v>157</v>
      </c>
      <c r="D6" s="8" t="s">
        <v>170</v>
      </c>
    </row>
    <row r="7" spans="1:4" x14ac:dyDescent="0.25">
      <c r="A7" s="8" t="s">
        <v>171</v>
      </c>
      <c r="B7" s="8" t="s">
        <v>172</v>
      </c>
      <c r="C7" s="8" t="s">
        <v>157</v>
      </c>
      <c r="D7" s="8" t="s">
        <v>173</v>
      </c>
    </row>
    <row r="8" spans="1:4" x14ac:dyDescent="0.25">
      <c r="A8" s="8" t="s">
        <v>174</v>
      </c>
      <c r="B8" s="8" t="s">
        <v>175</v>
      </c>
      <c r="C8" s="8" t="s">
        <v>157</v>
      </c>
      <c r="D8" s="8" t="s">
        <v>176</v>
      </c>
    </row>
    <row r="9" spans="1:4" x14ac:dyDescent="0.25">
      <c r="A9" s="8" t="s">
        <v>177</v>
      </c>
      <c r="B9" s="8" t="s">
        <v>178</v>
      </c>
      <c r="C9" s="8" t="s">
        <v>157</v>
      </c>
      <c r="D9" s="8" t="s">
        <v>179</v>
      </c>
    </row>
    <row r="10" spans="1:4" x14ac:dyDescent="0.25">
      <c r="A10" s="8" t="s">
        <v>180</v>
      </c>
      <c r="B10" s="8" t="s">
        <v>181</v>
      </c>
      <c r="C10" s="8" t="s">
        <v>157</v>
      </c>
      <c r="D10" s="8" t="s">
        <v>182</v>
      </c>
    </row>
    <row r="11" spans="1:4" x14ac:dyDescent="0.25">
      <c r="A11" s="8" t="s">
        <v>183</v>
      </c>
      <c r="B11" s="8" t="s">
        <v>184</v>
      </c>
      <c r="C11" s="8" t="s">
        <v>185</v>
      </c>
      <c r="D11" s="8" t="s">
        <v>186</v>
      </c>
    </row>
    <row r="12" spans="1:4" x14ac:dyDescent="0.25">
      <c r="A12" s="8" t="s">
        <v>187</v>
      </c>
      <c r="B12" s="8" t="s">
        <v>188</v>
      </c>
      <c r="C12" s="8" t="s">
        <v>185</v>
      </c>
      <c r="D12" s="8" t="s">
        <v>189</v>
      </c>
    </row>
    <row r="13" spans="1:4" x14ac:dyDescent="0.25">
      <c r="A13" s="8" t="s">
        <v>190</v>
      </c>
      <c r="B13" s="8" t="s">
        <v>191</v>
      </c>
      <c r="C13" s="8" t="s">
        <v>185</v>
      </c>
      <c r="D13" s="8" t="s">
        <v>192</v>
      </c>
    </row>
    <row r="14" spans="1:4" x14ac:dyDescent="0.25">
      <c r="A14" s="8" t="s">
        <v>193</v>
      </c>
      <c r="B14" s="8" t="s">
        <v>194</v>
      </c>
      <c r="C14" s="8" t="s">
        <v>185</v>
      </c>
      <c r="D14" s="8" t="s">
        <v>195</v>
      </c>
    </row>
    <row r="15" spans="1:4" x14ac:dyDescent="0.25">
      <c r="A15" s="8" t="s">
        <v>196</v>
      </c>
      <c r="B15" s="8" t="s">
        <v>197</v>
      </c>
      <c r="C15" s="8" t="s">
        <v>198</v>
      </c>
      <c r="D15" s="8" t="s">
        <v>199</v>
      </c>
    </row>
    <row r="16" spans="1:4" x14ac:dyDescent="0.25">
      <c r="A16" s="8" t="s">
        <v>200</v>
      </c>
      <c r="B16" s="8" t="s">
        <v>201</v>
      </c>
      <c r="C16" s="8" t="s">
        <v>198</v>
      </c>
      <c r="D16" s="8" t="s">
        <v>202</v>
      </c>
    </row>
    <row r="17" spans="1:4" x14ac:dyDescent="0.25">
      <c r="A17" s="8" t="s">
        <v>203</v>
      </c>
      <c r="B17" s="8" t="s">
        <v>204</v>
      </c>
      <c r="C17" s="8" t="s">
        <v>198</v>
      </c>
      <c r="D17" s="8" t="s">
        <v>205</v>
      </c>
    </row>
    <row r="18" spans="1:4" x14ac:dyDescent="0.25">
      <c r="A18" s="8" t="s">
        <v>206</v>
      </c>
      <c r="B18" s="8" t="s">
        <v>207</v>
      </c>
      <c r="C18" s="8" t="s">
        <v>198</v>
      </c>
      <c r="D18" s="8" t="s">
        <v>208</v>
      </c>
    </row>
    <row r="19" spans="1:4" x14ac:dyDescent="0.25">
      <c r="A19" s="8" t="s">
        <v>209</v>
      </c>
      <c r="B19" s="8" t="s">
        <v>210</v>
      </c>
      <c r="C19" s="8" t="s">
        <v>198</v>
      </c>
      <c r="D19" s="8" t="s">
        <v>211</v>
      </c>
    </row>
  </sheetData>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B7083"/>
  </sheetPr>
  <dimension ref="A1:C9"/>
  <sheetViews>
    <sheetView zoomScaleNormal="100" workbookViewId="0">
      <pane ySplit="1" topLeftCell="A2" activePane="bottomLeft" state="frozen"/>
      <selection pane="bottomLeft"/>
    </sheetView>
  </sheetViews>
  <sheetFormatPr baseColWidth="10" defaultColWidth="8.7109375" defaultRowHeight="15" x14ac:dyDescent="0.25"/>
  <cols>
    <col min="1" max="1" width="13" customWidth="1"/>
    <col min="2" max="3" width="26" customWidth="1"/>
  </cols>
  <sheetData>
    <row r="1" spans="1:3" ht="31.5" customHeight="1" x14ac:dyDescent="0.25">
      <c r="A1" s="7" t="s">
        <v>212</v>
      </c>
      <c r="B1" s="7" t="s">
        <v>213</v>
      </c>
      <c r="C1" s="7" t="s">
        <v>129</v>
      </c>
    </row>
    <row r="2" spans="1:3" x14ac:dyDescent="0.25">
      <c r="A2" s="8" t="s">
        <v>214</v>
      </c>
      <c r="B2" s="8" t="s">
        <v>215</v>
      </c>
      <c r="C2" s="8" t="s">
        <v>216</v>
      </c>
    </row>
    <row r="3" spans="1:3" x14ac:dyDescent="0.25">
      <c r="A3" s="8" t="s">
        <v>217</v>
      </c>
      <c r="B3" s="8" t="s">
        <v>218</v>
      </c>
      <c r="C3" s="8" t="s">
        <v>216</v>
      </c>
    </row>
    <row r="4" spans="1:3" x14ac:dyDescent="0.25">
      <c r="A4" s="8" t="s">
        <v>219</v>
      </c>
      <c r="B4" s="8" t="s">
        <v>220</v>
      </c>
      <c r="C4" s="8" t="s">
        <v>216</v>
      </c>
    </row>
    <row r="5" spans="1:3" x14ac:dyDescent="0.25">
      <c r="A5" s="8" t="s">
        <v>221</v>
      </c>
      <c r="B5" s="8" t="s">
        <v>222</v>
      </c>
      <c r="C5" s="8" t="s">
        <v>223</v>
      </c>
    </row>
    <row r="6" spans="1:3" x14ac:dyDescent="0.25">
      <c r="A6" s="8" t="s">
        <v>224</v>
      </c>
      <c r="B6" s="8" t="s">
        <v>225</v>
      </c>
      <c r="C6" s="8" t="s">
        <v>223</v>
      </c>
    </row>
    <row r="7" spans="1:3" x14ac:dyDescent="0.25">
      <c r="A7" s="8" t="s">
        <v>226</v>
      </c>
      <c r="B7" s="8" t="s">
        <v>227</v>
      </c>
      <c r="C7" s="8" t="s">
        <v>223</v>
      </c>
    </row>
    <row r="8" spans="1:3" x14ac:dyDescent="0.25">
      <c r="A8" s="8" t="s">
        <v>228</v>
      </c>
      <c r="B8" s="8" t="s">
        <v>229</v>
      </c>
      <c r="C8" s="8" t="s">
        <v>230</v>
      </c>
    </row>
    <row r="9" spans="1:3" x14ac:dyDescent="0.25">
      <c r="A9" s="8" t="s">
        <v>231</v>
      </c>
      <c r="B9" s="8" t="s">
        <v>232</v>
      </c>
      <c r="C9" s="8" t="s">
        <v>230</v>
      </c>
    </row>
  </sheetData>
  <pageMargins left="0.75" right="0.75" top="1" bottom="1"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B7083"/>
  </sheetPr>
  <dimension ref="A1:I25"/>
  <sheetViews>
    <sheetView zoomScaleNormal="100" workbookViewId="0">
      <pane ySplit="1" topLeftCell="A2" activePane="bottomLeft" state="frozen"/>
      <selection pane="bottomLeft"/>
    </sheetView>
  </sheetViews>
  <sheetFormatPr baseColWidth="10" defaultColWidth="8.7109375" defaultRowHeight="15" x14ac:dyDescent="0.25"/>
  <cols>
    <col min="1" max="1" width="13" customWidth="1"/>
    <col min="2" max="2" width="34" customWidth="1"/>
    <col min="3" max="3" width="22" customWidth="1"/>
    <col min="4" max="4" width="18" customWidth="1"/>
    <col min="5" max="5" width="14" customWidth="1"/>
    <col min="6" max="6" width="15" customWidth="1"/>
    <col min="7" max="7" width="16" customWidth="1"/>
    <col min="8" max="8" width="14" customWidth="1"/>
    <col min="9" max="9" width="12" customWidth="1"/>
  </cols>
  <sheetData>
    <row r="1" spans="1:9" ht="31.5" customHeight="1" x14ac:dyDescent="0.25">
      <c r="A1" s="7" t="s">
        <v>0</v>
      </c>
      <c r="B1" s="7" t="s">
        <v>1</v>
      </c>
      <c r="C1" s="7" t="s">
        <v>2</v>
      </c>
      <c r="D1" s="7" t="s">
        <v>3</v>
      </c>
      <c r="E1" s="7" t="s">
        <v>4</v>
      </c>
      <c r="F1" s="9" t="s">
        <v>5</v>
      </c>
      <c r="G1" s="9" t="s">
        <v>6</v>
      </c>
      <c r="H1" s="9" t="s">
        <v>7</v>
      </c>
      <c r="I1" s="9" t="s">
        <v>8</v>
      </c>
    </row>
    <row r="2" spans="1:9" x14ac:dyDescent="0.25">
      <c r="A2" s="8" t="s">
        <v>9</v>
      </c>
      <c r="B2" s="8" t="s">
        <v>10</v>
      </c>
      <c r="C2" s="8" t="s">
        <v>11</v>
      </c>
      <c r="D2" s="10">
        <v>14500</v>
      </c>
      <c r="E2" s="8" t="s">
        <v>12</v>
      </c>
      <c r="F2" s="8">
        <f>SUMIFS(T_DetalleOT[Cantidad_o_Horas],T_DetalleOT[ID_Repuesto_o_Tecnico],A2,T_DetalleOT[En_Filtro],1)</f>
        <v>54</v>
      </c>
      <c r="G2" s="10">
        <f>SUMIFS(T_DetalleOT[Costo_Total],T_DetalleOT[ID_Repuesto_o_Tecnico],A2,T_DetalleOT[En_Filtro],1)</f>
        <v>775980</v>
      </c>
      <c r="H2" s="8">
        <f>RANK(F2,$F$2:$F$25,0)+COUNTIF($F$2:F2,F2)-1</f>
        <v>6</v>
      </c>
      <c r="I2" s="8">
        <f>RANK(G2,$G$2:$G$25,0)+COUNTIF($G$2:G2,G2)-1</f>
        <v>18</v>
      </c>
    </row>
    <row r="3" spans="1:9" x14ac:dyDescent="0.25">
      <c r="A3" s="8" t="s">
        <v>13</v>
      </c>
      <c r="B3" s="8" t="s">
        <v>14</v>
      </c>
      <c r="C3" s="8" t="s">
        <v>11</v>
      </c>
      <c r="D3" s="10">
        <v>28900</v>
      </c>
      <c r="E3" s="8" t="s">
        <v>12</v>
      </c>
      <c r="F3" s="8">
        <f>SUMIFS(T_DetalleOT[Cantidad_o_Horas],T_DetalleOT[ID_Repuesto_o_Tecnico],A3,T_DetalleOT[En_Filtro],1)</f>
        <v>53</v>
      </c>
      <c r="G3" s="10">
        <f>SUMIFS(T_DetalleOT[Costo_Total],T_DetalleOT[ID_Repuesto_o_Tecnico],A3,T_DetalleOT[En_Filtro],1)</f>
        <v>1602300</v>
      </c>
      <c r="H3" s="8">
        <f>RANK(F3,$F$2:$F$25,0)+COUNTIF($F$2:F3,F3)-1</f>
        <v>7</v>
      </c>
      <c r="I3" s="8">
        <f>RANK(G3,$G$2:$G$25,0)+COUNTIF($G$2:G3,G3)-1</f>
        <v>12</v>
      </c>
    </row>
    <row r="4" spans="1:9" x14ac:dyDescent="0.25">
      <c r="A4" s="8" t="s">
        <v>15</v>
      </c>
      <c r="B4" s="8" t="s">
        <v>16</v>
      </c>
      <c r="C4" s="8" t="s">
        <v>11</v>
      </c>
      <c r="D4" s="10">
        <v>21900</v>
      </c>
      <c r="E4" s="8" t="s">
        <v>12</v>
      </c>
      <c r="F4" s="8">
        <f>SUMIFS(T_DetalleOT[Cantidad_o_Horas],T_DetalleOT[ID_Repuesto_o_Tecnico],A4,T_DetalleOT[En_Filtro],1)</f>
        <v>62</v>
      </c>
      <c r="G4" s="10">
        <f>SUMIFS(T_DetalleOT[Costo_Total],T_DetalleOT[ID_Repuesto_o_Tecnico],A4,T_DetalleOT[En_Filtro],1)</f>
        <v>1355460</v>
      </c>
      <c r="H4" s="8">
        <f>RANK(F4,$F$2:$F$25,0)+COUNTIF($F$2:F4,F4)-1</f>
        <v>5</v>
      </c>
      <c r="I4" s="8">
        <f>RANK(G4,$G$2:$G$25,0)+COUNTIF($G$2:G4,G4)-1</f>
        <v>15</v>
      </c>
    </row>
    <row r="5" spans="1:9" x14ac:dyDescent="0.25">
      <c r="A5" s="8" t="s">
        <v>17</v>
      </c>
      <c r="B5" s="8" t="s">
        <v>18</v>
      </c>
      <c r="C5" s="8" t="s">
        <v>11</v>
      </c>
      <c r="D5" s="10">
        <v>5200</v>
      </c>
      <c r="E5" s="8" t="s">
        <v>19</v>
      </c>
      <c r="F5" s="8">
        <f>SUMIFS(T_DetalleOT[Cantidad_o_Horas],T_DetalleOT[ID_Repuesto_o_Tecnico],A5,T_DetalleOT[En_Filtro],1)</f>
        <v>276</v>
      </c>
      <c r="G5" s="10">
        <f>SUMIFS(T_DetalleOT[Costo_Total],T_DetalleOT[ID_Repuesto_o_Tecnico],A5,T_DetalleOT[En_Filtro],1)</f>
        <v>1394070</v>
      </c>
      <c r="H5" s="8">
        <f>RANK(F5,$F$2:$F$25,0)+COUNTIF($F$2:F5,F5)-1</f>
        <v>3</v>
      </c>
      <c r="I5" s="8">
        <f>RANK(G5,$G$2:$G$25,0)+COUNTIF($G$2:G5,G5)-1</f>
        <v>14</v>
      </c>
    </row>
    <row r="6" spans="1:9" x14ac:dyDescent="0.25">
      <c r="A6" s="8" t="s">
        <v>20</v>
      </c>
      <c r="B6" s="8" t="s">
        <v>21</v>
      </c>
      <c r="C6" s="8" t="s">
        <v>11</v>
      </c>
      <c r="D6" s="10">
        <v>6100</v>
      </c>
      <c r="E6" s="8" t="s">
        <v>19</v>
      </c>
      <c r="F6" s="8">
        <f>SUMIFS(T_DetalleOT[Cantidad_o_Horas],T_DetalleOT[ID_Repuesto_o_Tecnico],A6,T_DetalleOT[En_Filtro],1)</f>
        <v>415</v>
      </c>
      <c r="G6" s="10">
        <f>SUMIFS(T_DetalleOT[Costo_Total],T_DetalleOT[ID_Repuesto_o_Tecnico],A6,T_DetalleOT[En_Filtro],1)</f>
        <v>2648980</v>
      </c>
      <c r="H6" s="8">
        <f>RANK(F6,$F$2:$F$25,0)+COUNTIF($F$2:F6,F6)-1</f>
        <v>1</v>
      </c>
      <c r="I6" s="8">
        <f>RANK(G6,$G$2:$G$25,0)+COUNTIF($G$2:G6,G6)-1</f>
        <v>5</v>
      </c>
    </row>
    <row r="7" spans="1:9" x14ac:dyDescent="0.25">
      <c r="A7" s="8" t="s">
        <v>22</v>
      </c>
      <c r="B7" s="8" t="s">
        <v>23</v>
      </c>
      <c r="C7" s="8" t="s">
        <v>11</v>
      </c>
      <c r="D7" s="10">
        <v>4300</v>
      </c>
      <c r="E7" s="8" t="s">
        <v>19</v>
      </c>
      <c r="F7" s="8">
        <f>SUMIFS(T_DetalleOT[Cantidad_o_Horas],T_DetalleOT[ID_Repuesto_o_Tecnico],A7,T_DetalleOT[En_Filtro],1)</f>
        <v>352</v>
      </c>
      <c r="G7" s="10">
        <f>SUMIFS(T_DetalleOT[Costo_Total],T_DetalleOT[ID_Repuesto_o_Tecnico],A7,T_DetalleOT[En_Filtro],1)</f>
        <v>1545540</v>
      </c>
      <c r="H7" s="8">
        <f>RANK(F7,$F$2:$F$25,0)+COUNTIF($F$2:F7,F7)-1</f>
        <v>2</v>
      </c>
      <c r="I7" s="8">
        <f>RANK(G7,$G$2:$G$25,0)+COUNTIF($G$2:G7,G7)-1</f>
        <v>13</v>
      </c>
    </row>
    <row r="8" spans="1:9" x14ac:dyDescent="0.25">
      <c r="A8" s="8" t="s">
        <v>24</v>
      </c>
      <c r="B8" s="8" t="s">
        <v>25</v>
      </c>
      <c r="C8" s="8" t="s">
        <v>26</v>
      </c>
      <c r="D8" s="10">
        <v>385000</v>
      </c>
      <c r="E8" s="8" t="s">
        <v>12</v>
      </c>
      <c r="F8" s="8">
        <f>SUMIFS(T_DetalleOT[Cantidad_o_Horas],T_DetalleOT[ID_Repuesto_o_Tecnico],A8,T_DetalleOT[En_Filtro],1)</f>
        <v>17</v>
      </c>
      <c r="G8" s="10">
        <f>SUMIFS(T_DetalleOT[Costo_Total],T_DetalleOT[ID_Repuesto_o_Tecnico],A8,T_DetalleOT[En_Filtro],1)</f>
        <v>6765540</v>
      </c>
      <c r="H8" s="8">
        <f>RANK(F8,$F$2:$F$25,0)+COUNTIF($F$2:F8,F8)-1</f>
        <v>17</v>
      </c>
      <c r="I8" s="8">
        <f>RANK(G8,$G$2:$G$25,0)+COUNTIF($G$2:G8,G8)-1</f>
        <v>1</v>
      </c>
    </row>
    <row r="9" spans="1:9" x14ac:dyDescent="0.25">
      <c r="A9" s="8" t="s">
        <v>27</v>
      </c>
      <c r="B9" s="8" t="s">
        <v>28</v>
      </c>
      <c r="C9" s="8" t="s">
        <v>26</v>
      </c>
      <c r="D9" s="10">
        <v>96000</v>
      </c>
      <c r="E9" s="8" t="s">
        <v>12</v>
      </c>
      <c r="F9" s="8">
        <f>SUMIFS(T_DetalleOT[Cantidad_o_Horas],T_DetalleOT[ID_Repuesto_o_Tecnico],A9,T_DetalleOT[En_Filtro],1)</f>
        <v>20</v>
      </c>
      <c r="G9" s="10">
        <f>SUMIFS(T_DetalleOT[Costo_Total],T_DetalleOT[ID_Repuesto_o_Tecnico],A9,T_DetalleOT[En_Filtro],1)</f>
        <v>2102050</v>
      </c>
      <c r="H9" s="8">
        <f>RANK(F9,$F$2:$F$25,0)+COUNTIF($F$2:F9,F9)-1</f>
        <v>14</v>
      </c>
      <c r="I9" s="8">
        <f>RANK(G9,$G$2:$G$25,0)+COUNTIF($G$2:G9,G9)-1</f>
        <v>11</v>
      </c>
    </row>
    <row r="10" spans="1:9" x14ac:dyDescent="0.25">
      <c r="A10" s="8" t="s">
        <v>29</v>
      </c>
      <c r="B10" s="8" t="s">
        <v>30</v>
      </c>
      <c r="C10" s="8" t="s">
        <v>26</v>
      </c>
      <c r="D10" s="10">
        <v>78000</v>
      </c>
      <c r="E10" s="8" t="s">
        <v>12</v>
      </c>
      <c r="F10" s="8">
        <f>SUMIFS(T_DetalleOT[Cantidad_o_Horas],T_DetalleOT[ID_Repuesto_o_Tecnico],A10,T_DetalleOT[En_Filtro],1)</f>
        <v>12</v>
      </c>
      <c r="G10" s="10">
        <f>SUMIFS(T_DetalleOT[Costo_Total],T_DetalleOT[ID_Repuesto_o_Tecnico],A10,T_DetalleOT[En_Filtro],1)</f>
        <v>1000300</v>
      </c>
      <c r="H10" s="8">
        <f>RANK(F10,$F$2:$F$25,0)+COUNTIF($F$2:F10,F10)-1</f>
        <v>23</v>
      </c>
      <c r="I10" s="8">
        <f>RANK(G10,$G$2:$G$25,0)+COUNTIF($G$2:G10,G10)-1</f>
        <v>16</v>
      </c>
    </row>
    <row r="11" spans="1:9" x14ac:dyDescent="0.25">
      <c r="A11" s="8" t="s">
        <v>31</v>
      </c>
      <c r="B11" s="8" t="s">
        <v>32</v>
      </c>
      <c r="C11" s="8" t="s">
        <v>26</v>
      </c>
      <c r="D11" s="10">
        <v>32000</v>
      </c>
      <c r="E11" s="8" t="s">
        <v>12</v>
      </c>
      <c r="F11" s="8">
        <f>SUMIFS(T_DetalleOT[Cantidad_o_Horas],T_DetalleOT[ID_Repuesto_o_Tecnico],A11,T_DetalleOT[En_Filtro],1)</f>
        <v>14</v>
      </c>
      <c r="G11" s="10">
        <f>SUMIFS(T_DetalleOT[Costo_Total],T_DetalleOT[ID_Repuesto_o_Tecnico],A11,T_DetalleOT[En_Filtro],1)</f>
        <v>467500</v>
      </c>
      <c r="H11" s="8">
        <f>RANK(F11,$F$2:$F$25,0)+COUNTIF($F$2:F11,F11)-1</f>
        <v>20</v>
      </c>
      <c r="I11" s="8">
        <f>RANK(G11,$G$2:$G$25,0)+COUNTIF($G$2:G11,G11)-1</f>
        <v>22</v>
      </c>
    </row>
    <row r="12" spans="1:9" x14ac:dyDescent="0.25">
      <c r="A12" s="8" t="s">
        <v>33</v>
      </c>
      <c r="B12" s="8" t="s">
        <v>34</v>
      </c>
      <c r="C12" s="8" t="s">
        <v>26</v>
      </c>
      <c r="D12" s="10">
        <v>210000</v>
      </c>
      <c r="E12" s="8" t="s">
        <v>12</v>
      </c>
      <c r="F12" s="8">
        <f>SUMIFS(T_DetalleOT[Cantidad_o_Horas],T_DetalleOT[ID_Repuesto_o_Tecnico],A12,T_DetalleOT[En_Filtro],1)</f>
        <v>13</v>
      </c>
      <c r="G12" s="10">
        <f>SUMIFS(T_DetalleOT[Costo_Total],T_DetalleOT[ID_Repuesto_o_Tecnico],A12,T_DetalleOT[En_Filtro],1)</f>
        <v>2767420</v>
      </c>
      <c r="H12" s="8">
        <f>RANK(F12,$F$2:$F$25,0)+COUNTIF($F$2:F12,F12)-1</f>
        <v>21</v>
      </c>
      <c r="I12" s="8">
        <f>RANK(G12,$G$2:$G$25,0)+COUNTIF($G$2:G12,G12)-1</f>
        <v>4</v>
      </c>
    </row>
    <row r="13" spans="1:9" x14ac:dyDescent="0.25">
      <c r="A13" s="8" t="s">
        <v>35</v>
      </c>
      <c r="B13" s="8" t="s">
        <v>36</v>
      </c>
      <c r="C13" s="8" t="s">
        <v>26</v>
      </c>
      <c r="D13" s="10">
        <v>18500</v>
      </c>
      <c r="E13" s="8" t="s">
        <v>37</v>
      </c>
      <c r="F13" s="8">
        <f>SUMIFS(T_DetalleOT[Cantidad_o_Horas],T_DetalleOT[ID_Repuesto_o_Tecnico],A13,T_DetalleOT[En_Filtro],1)</f>
        <v>17</v>
      </c>
      <c r="G13" s="10">
        <f>SUMIFS(T_DetalleOT[Costo_Total],T_DetalleOT[ID_Repuesto_o_Tecnico],A13,T_DetalleOT[En_Filtro],1)</f>
        <v>339320</v>
      </c>
      <c r="H13" s="8">
        <f>RANK(F13,$F$2:$F$25,0)+COUNTIF($F$2:F13,F13)-1</f>
        <v>18</v>
      </c>
      <c r="I13" s="8">
        <f>RANK(G13,$G$2:$G$25,0)+COUNTIF($G$2:G13,G13)-1</f>
        <v>23</v>
      </c>
    </row>
    <row r="14" spans="1:9" x14ac:dyDescent="0.25">
      <c r="A14" s="8" t="s">
        <v>38</v>
      </c>
      <c r="B14" s="8" t="s">
        <v>39</v>
      </c>
      <c r="C14" s="8" t="s">
        <v>40</v>
      </c>
      <c r="D14" s="10">
        <v>54000</v>
      </c>
      <c r="E14" s="8" t="s">
        <v>41</v>
      </c>
      <c r="F14" s="8">
        <f>SUMIFS(T_DetalleOT[Cantidad_o_Horas],T_DetalleOT[ID_Repuesto_o_Tecnico],A14,T_DetalleOT[En_Filtro],1)</f>
        <v>18</v>
      </c>
      <c r="G14" s="10">
        <f>SUMIFS(T_DetalleOT[Costo_Total],T_DetalleOT[ID_Repuesto_o_Tecnico],A14,T_DetalleOT[En_Filtro],1)</f>
        <v>996550</v>
      </c>
      <c r="H14" s="8">
        <f>RANK(F14,$F$2:$F$25,0)+COUNTIF($F$2:F14,F14)-1</f>
        <v>16</v>
      </c>
      <c r="I14" s="8">
        <f>RANK(G14,$G$2:$G$25,0)+COUNTIF($G$2:G14,G14)-1</f>
        <v>17</v>
      </c>
    </row>
    <row r="15" spans="1:9" x14ac:dyDescent="0.25">
      <c r="A15" s="8" t="s">
        <v>42</v>
      </c>
      <c r="B15" s="8" t="s">
        <v>43</v>
      </c>
      <c r="C15" s="8" t="s">
        <v>40</v>
      </c>
      <c r="D15" s="10">
        <v>38000</v>
      </c>
      <c r="E15" s="8" t="s">
        <v>44</v>
      </c>
      <c r="F15" s="8">
        <f>SUMIFS(T_DetalleOT[Cantidad_o_Horas],T_DetalleOT[ID_Repuesto_o_Tecnico],A15,T_DetalleOT[En_Filtro],1)</f>
        <v>13</v>
      </c>
      <c r="G15" s="10">
        <f>SUMIFS(T_DetalleOT[Costo_Total],T_DetalleOT[ID_Repuesto_o_Tecnico],A15,T_DetalleOT[En_Filtro],1)</f>
        <v>513840</v>
      </c>
      <c r="H15" s="8">
        <f>RANK(F15,$F$2:$F$25,0)+COUNTIF($F$2:F15,F15)-1</f>
        <v>22</v>
      </c>
      <c r="I15" s="8">
        <f>RANK(G15,$G$2:$G$25,0)+COUNTIF($G$2:G15,G15)-1</f>
        <v>20</v>
      </c>
    </row>
    <row r="16" spans="1:9" x14ac:dyDescent="0.25">
      <c r="A16" s="8" t="s">
        <v>45</v>
      </c>
      <c r="B16" s="8" t="s">
        <v>46</v>
      </c>
      <c r="C16" s="8" t="s">
        <v>40</v>
      </c>
      <c r="D16" s="10">
        <v>24500</v>
      </c>
      <c r="E16" s="8" t="s">
        <v>19</v>
      </c>
      <c r="F16" s="8">
        <f>SUMIFS(T_DetalleOT[Cantidad_o_Horas],T_DetalleOT[ID_Repuesto_o_Tecnico],A16,T_DetalleOT[En_Filtro],1)</f>
        <v>93</v>
      </c>
      <c r="G16" s="10">
        <f>SUMIFS(T_DetalleOT[Costo_Total],T_DetalleOT[ID_Repuesto_o_Tecnico],A16,T_DetalleOT[En_Filtro],1)</f>
        <v>2410440</v>
      </c>
      <c r="H16" s="8">
        <f>RANK(F16,$F$2:$F$25,0)+COUNTIF($F$2:F16,F16)-1</f>
        <v>4</v>
      </c>
      <c r="I16" s="8">
        <f>RANK(G16,$G$2:$G$25,0)+COUNTIF($G$2:G16,G16)-1</f>
        <v>8</v>
      </c>
    </row>
    <row r="17" spans="1:9" x14ac:dyDescent="0.25">
      <c r="A17" s="8" t="s">
        <v>47</v>
      </c>
      <c r="B17" s="8" t="s">
        <v>48</v>
      </c>
      <c r="C17" s="8" t="s">
        <v>40</v>
      </c>
      <c r="D17" s="10">
        <v>9800</v>
      </c>
      <c r="E17" s="8" t="s">
        <v>49</v>
      </c>
      <c r="F17" s="8">
        <f>SUMIFS(T_DetalleOT[Cantidad_o_Horas],T_DetalleOT[ID_Repuesto_o_Tecnico],A17,T_DetalleOT[En_Filtro],1)</f>
        <v>19</v>
      </c>
      <c r="G17" s="10">
        <f>SUMIFS(T_DetalleOT[Costo_Total],T_DetalleOT[ID_Repuesto_o_Tecnico],A17,T_DetalleOT[En_Filtro],1)</f>
        <v>188310</v>
      </c>
      <c r="H17" s="8">
        <f>RANK(F17,$F$2:$F$25,0)+COUNTIF($F$2:F17,F17)-1</f>
        <v>15</v>
      </c>
      <c r="I17" s="8">
        <f>RANK(G17,$G$2:$G$25,0)+COUNTIF($G$2:G17,G17)-1</f>
        <v>24</v>
      </c>
    </row>
    <row r="18" spans="1:9" x14ac:dyDescent="0.25">
      <c r="A18" s="8" t="s">
        <v>50</v>
      </c>
      <c r="B18" s="8" t="s">
        <v>51</v>
      </c>
      <c r="C18" s="8" t="s">
        <v>40</v>
      </c>
      <c r="D18" s="10">
        <v>265000</v>
      </c>
      <c r="E18" s="8" t="s">
        <v>12</v>
      </c>
      <c r="F18" s="8">
        <f>SUMIFS(T_DetalleOT[Cantidad_o_Horas],T_DetalleOT[ID_Repuesto_o_Tecnico],A18,T_DetalleOT[En_Filtro],1)</f>
        <v>15</v>
      </c>
      <c r="G18" s="10">
        <f>SUMIFS(T_DetalleOT[Costo_Total],T_DetalleOT[ID_Repuesto_o_Tecnico],A18,T_DetalleOT[En_Filtro],1)</f>
        <v>4140070</v>
      </c>
      <c r="H18" s="8">
        <f>RANK(F18,$F$2:$F$25,0)+COUNTIF($F$2:F18,F18)-1</f>
        <v>19</v>
      </c>
      <c r="I18" s="8">
        <f>RANK(G18,$G$2:$G$25,0)+COUNTIF($G$2:G18,G18)-1</f>
        <v>3</v>
      </c>
    </row>
    <row r="19" spans="1:9" x14ac:dyDescent="0.25">
      <c r="A19" s="8" t="s">
        <v>52</v>
      </c>
      <c r="B19" s="8" t="s">
        <v>53</v>
      </c>
      <c r="C19" s="8" t="s">
        <v>40</v>
      </c>
      <c r="D19" s="10">
        <v>310000</v>
      </c>
      <c r="E19" s="8" t="s">
        <v>12</v>
      </c>
      <c r="F19" s="8">
        <f>SUMIFS(T_DetalleOT[Cantidad_o_Horas],T_DetalleOT[ID_Repuesto_o_Tecnico],A19,T_DetalleOT[En_Filtro],1)</f>
        <v>7</v>
      </c>
      <c r="G19" s="10">
        <f>SUMIFS(T_DetalleOT[Costo_Total],T_DetalleOT[ID_Repuesto_o_Tecnico],A19,T_DetalleOT[En_Filtro],1)</f>
        <v>2197780</v>
      </c>
      <c r="H19" s="8">
        <f>RANK(F19,$F$2:$F$25,0)+COUNTIF($F$2:F19,F19)-1</f>
        <v>24</v>
      </c>
      <c r="I19" s="8">
        <f>RANK(G19,$G$2:$G$25,0)+COUNTIF($G$2:G19,G19)-1</f>
        <v>10</v>
      </c>
    </row>
    <row r="20" spans="1:9" x14ac:dyDescent="0.25">
      <c r="A20" s="8" t="s">
        <v>54</v>
      </c>
      <c r="B20" s="8" t="s">
        <v>55</v>
      </c>
      <c r="C20" s="8" t="s">
        <v>56</v>
      </c>
      <c r="D20" s="10">
        <v>89000</v>
      </c>
      <c r="E20" s="8" t="s">
        <v>12</v>
      </c>
      <c r="F20" s="8">
        <f>SUMIFS(T_DetalleOT[Cantidad_o_Horas],T_DetalleOT[ID_Repuesto_o_Tecnico],A20,T_DetalleOT[En_Filtro],1)</f>
        <v>28</v>
      </c>
      <c r="G20" s="10">
        <f>SUMIFS(T_DetalleOT[Costo_Total],T_DetalleOT[ID_Repuesto_o_Tecnico],A20,T_DetalleOT[En_Filtro],1)</f>
        <v>2608120</v>
      </c>
      <c r="H20" s="8">
        <f>RANK(F20,$F$2:$F$25,0)+COUNTIF($F$2:F20,F20)-1</f>
        <v>13</v>
      </c>
      <c r="I20" s="8">
        <f>RANK(G20,$G$2:$G$25,0)+COUNTIF($G$2:G20,G20)-1</f>
        <v>6</v>
      </c>
    </row>
    <row r="21" spans="1:9" x14ac:dyDescent="0.25">
      <c r="A21" s="8" t="s">
        <v>57</v>
      </c>
      <c r="B21" s="8" t="s">
        <v>58</v>
      </c>
      <c r="C21" s="8" t="s">
        <v>56</v>
      </c>
      <c r="D21" s="10">
        <v>118000</v>
      </c>
      <c r="E21" s="8" t="s">
        <v>12</v>
      </c>
      <c r="F21" s="8">
        <f>SUMIFS(T_DetalleOT[Cantidad_o_Horas],T_DetalleOT[ID_Repuesto_o_Tecnico],A21,T_DetalleOT[En_Filtro],1)</f>
        <v>42</v>
      </c>
      <c r="G21" s="10">
        <f>SUMIFS(T_DetalleOT[Costo_Total],T_DetalleOT[ID_Repuesto_o_Tecnico],A21,T_DetalleOT[En_Filtro],1)</f>
        <v>5065910</v>
      </c>
      <c r="H21" s="8">
        <f>RANK(F21,$F$2:$F$25,0)+COUNTIF($F$2:F21,F21)-1</f>
        <v>8</v>
      </c>
      <c r="I21" s="8">
        <f>RANK(G21,$G$2:$G$25,0)+COUNTIF($G$2:G21,G21)-1</f>
        <v>2</v>
      </c>
    </row>
    <row r="22" spans="1:9" x14ac:dyDescent="0.25">
      <c r="A22" s="8" t="s">
        <v>59</v>
      </c>
      <c r="B22" s="8" t="s">
        <v>60</v>
      </c>
      <c r="C22" s="8" t="s">
        <v>56</v>
      </c>
      <c r="D22" s="10">
        <v>14500</v>
      </c>
      <c r="E22" s="8" t="s">
        <v>37</v>
      </c>
      <c r="F22" s="8">
        <f>SUMIFS(T_DetalleOT[Cantidad_o_Horas],T_DetalleOT[ID_Repuesto_o_Tecnico],A22,T_DetalleOT[En_Filtro],1)</f>
        <v>31</v>
      </c>
      <c r="G22" s="10">
        <f>SUMIFS(T_DetalleOT[Costo_Total],T_DetalleOT[ID_Repuesto_o_Tecnico],A22,T_DetalleOT[En_Filtro],1)</f>
        <v>471150</v>
      </c>
      <c r="H22" s="8">
        <f>RANK(F22,$F$2:$F$25,0)+COUNTIF($F$2:F22,F22)-1</f>
        <v>10</v>
      </c>
      <c r="I22" s="8">
        <f>RANK(G22,$G$2:$G$25,0)+COUNTIF($G$2:G22,G22)-1</f>
        <v>21</v>
      </c>
    </row>
    <row r="23" spans="1:9" x14ac:dyDescent="0.25">
      <c r="A23" s="8" t="s">
        <v>61</v>
      </c>
      <c r="B23" s="8" t="s">
        <v>62</v>
      </c>
      <c r="C23" s="8" t="s">
        <v>56</v>
      </c>
      <c r="D23" s="10">
        <v>76000</v>
      </c>
      <c r="E23" s="8" t="s">
        <v>12</v>
      </c>
      <c r="F23" s="8">
        <f>SUMIFS(T_DetalleOT[Cantidad_o_Horas],T_DetalleOT[ID_Repuesto_o_Tecnico],A23,T_DetalleOT[En_Filtro],1)</f>
        <v>31</v>
      </c>
      <c r="G23" s="10">
        <f>SUMIFS(T_DetalleOT[Costo_Total],T_DetalleOT[ID_Repuesto_o_Tecnico],A23,T_DetalleOT[En_Filtro],1)</f>
        <v>2419530</v>
      </c>
      <c r="H23" s="8">
        <f>RANK(F23,$F$2:$F$25,0)+COUNTIF($F$2:F23,F23)-1</f>
        <v>11</v>
      </c>
      <c r="I23" s="8">
        <f>RANK(G23,$G$2:$G$25,0)+COUNTIF($G$2:G23,G23)-1</f>
        <v>7</v>
      </c>
    </row>
    <row r="24" spans="1:9" x14ac:dyDescent="0.25">
      <c r="A24" s="8" t="s">
        <v>63</v>
      </c>
      <c r="B24" s="8" t="s">
        <v>64</v>
      </c>
      <c r="C24" s="8" t="s">
        <v>56</v>
      </c>
      <c r="D24" s="10">
        <v>64000</v>
      </c>
      <c r="E24" s="8" t="s">
        <v>12</v>
      </c>
      <c r="F24" s="8">
        <f>SUMIFS(T_DetalleOT[Cantidad_o_Horas],T_DetalleOT[ID_Repuesto_o_Tecnico],A24,T_DetalleOT[En_Filtro],1)</f>
        <v>36</v>
      </c>
      <c r="G24" s="10">
        <f>SUMIFS(T_DetalleOT[Costo_Total],T_DetalleOT[ID_Repuesto_o_Tecnico],A24,T_DetalleOT[En_Filtro],1)</f>
        <v>2342260</v>
      </c>
      <c r="H24" s="8">
        <f>RANK(F24,$F$2:$F$25,0)+COUNTIF($F$2:F24,F24)-1</f>
        <v>9</v>
      </c>
      <c r="I24" s="8">
        <f>RANK(G24,$G$2:$G$25,0)+COUNTIF($G$2:G24,G24)-1</f>
        <v>9</v>
      </c>
    </row>
    <row r="25" spans="1:9" x14ac:dyDescent="0.25">
      <c r="A25" s="8" t="s">
        <v>65</v>
      </c>
      <c r="B25" s="8" t="s">
        <v>66</v>
      </c>
      <c r="C25" s="8" t="s">
        <v>56</v>
      </c>
      <c r="D25" s="10">
        <v>22500</v>
      </c>
      <c r="E25" s="8" t="s">
        <v>37</v>
      </c>
      <c r="F25" s="8">
        <f>SUMIFS(T_DetalleOT[Cantidad_o_Horas],T_DetalleOT[ID_Repuesto_o_Tecnico],A25,T_DetalleOT[En_Filtro],1)</f>
        <v>30</v>
      </c>
      <c r="G25" s="10">
        <f>SUMIFS(T_DetalleOT[Costo_Total],T_DetalleOT[ID_Repuesto_o_Tecnico],A25,T_DetalleOT[En_Filtro],1)</f>
        <v>690080</v>
      </c>
      <c r="H25" s="8">
        <f>RANK(F25,$F$2:$F$25,0)+COUNTIF($F$2:F25,F25)-1</f>
        <v>12</v>
      </c>
      <c r="I25" s="8">
        <f>RANK(G25,$G$2:$G$25,0)+COUNTIF($G$2:G25,G25)-1</f>
        <v>19</v>
      </c>
    </row>
  </sheetData>
  <pageMargins left="0.75" right="0.75" top="1" bottom="1" header="0.511811023622047" footer="0.511811023622047"/>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B7083"/>
  </sheetPr>
  <dimension ref="A1:AP181"/>
  <sheetViews>
    <sheetView topLeftCell="I1" zoomScaleNormal="100" workbookViewId="0">
      <pane ySplit="1" topLeftCell="A2" activePane="bottomLeft" state="frozen"/>
      <selection pane="bottomLeft" activeCell="Y2" sqref="Y2"/>
    </sheetView>
  </sheetViews>
  <sheetFormatPr baseColWidth="10" defaultColWidth="8.7109375" defaultRowHeight="15" x14ac:dyDescent="0.25"/>
  <cols>
    <col min="1" max="1" width="11" customWidth="1"/>
    <col min="2" max="2" width="12" customWidth="1"/>
    <col min="3" max="3" width="13" customWidth="1"/>
    <col min="4" max="4" width="22" customWidth="1"/>
    <col min="5" max="5" width="13" customWidth="1"/>
    <col min="6" max="6" width="15" customWidth="1"/>
    <col min="7" max="7" width="13" customWidth="1"/>
    <col min="8" max="8" width="19" customWidth="1"/>
    <col min="9" max="9" width="14" customWidth="1"/>
    <col min="10" max="10" width="17" customWidth="1"/>
    <col min="11" max="11" width="18" customWidth="1"/>
    <col min="12" max="14" width="12" customWidth="1"/>
    <col min="15" max="15" width="13" customWidth="1"/>
    <col min="16" max="17" width="16" customWidth="1"/>
    <col min="18" max="18" width="14" customWidth="1"/>
    <col min="19" max="19" width="12" customWidth="1"/>
    <col min="20" max="21" width="14" customWidth="1"/>
    <col min="22" max="22" width="10" customWidth="1"/>
    <col min="23" max="24" width="13" customWidth="1"/>
    <col min="25" max="25" width="14" customWidth="1"/>
  </cols>
  <sheetData>
    <row r="1" spans="1:42" ht="31.5" customHeight="1" x14ac:dyDescent="0.25">
      <c r="A1" s="42" t="s">
        <v>233</v>
      </c>
      <c r="B1" s="42" t="s">
        <v>152</v>
      </c>
      <c r="C1" s="42" t="s">
        <v>234</v>
      </c>
      <c r="D1" s="42" t="s">
        <v>235</v>
      </c>
      <c r="E1" s="42" t="s">
        <v>236</v>
      </c>
      <c r="F1" s="42" t="s">
        <v>237</v>
      </c>
      <c r="G1" s="42" t="s">
        <v>238</v>
      </c>
      <c r="H1" s="42" t="s">
        <v>239</v>
      </c>
      <c r="I1" s="42" t="s">
        <v>240</v>
      </c>
      <c r="J1" s="42" t="s">
        <v>241</v>
      </c>
      <c r="K1" s="42" t="s">
        <v>242</v>
      </c>
      <c r="L1" s="42" t="s">
        <v>243</v>
      </c>
      <c r="M1" s="42" t="s">
        <v>244</v>
      </c>
      <c r="N1" s="42" t="s">
        <v>245</v>
      </c>
      <c r="O1" s="42" t="s">
        <v>246</v>
      </c>
      <c r="P1" s="42" t="s">
        <v>247</v>
      </c>
      <c r="Q1" s="42" t="s">
        <v>248</v>
      </c>
      <c r="R1" s="42" t="s">
        <v>249</v>
      </c>
      <c r="S1" s="42" t="s">
        <v>250</v>
      </c>
      <c r="T1" s="42" t="s">
        <v>251</v>
      </c>
      <c r="U1" s="42" t="s">
        <v>252</v>
      </c>
      <c r="V1" s="42" t="s">
        <v>253</v>
      </c>
      <c r="W1" s="42" t="s">
        <v>254</v>
      </c>
      <c r="X1" s="42" t="s">
        <v>255</v>
      </c>
      <c r="Y1" s="42" t="s">
        <v>256</v>
      </c>
      <c r="Z1" s="42" t="s">
        <v>257</v>
      </c>
      <c r="AA1" s="42" t="s">
        <v>258</v>
      </c>
      <c r="AB1" s="42" t="s">
        <v>259</v>
      </c>
      <c r="AC1" s="42" t="s">
        <v>260</v>
      </c>
      <c r="AD1" s="42" t="s">
        <v>261</v>
      </c>
      <c r="AE1" s="42" t="s">
        <v>262</v>
      </c>
      <c r="AF1" s="42" t="s">
        <v>263</v>
      </c>
      <c r="AG1" s="42" t="s">
        <v>264</v>
      </c>
      <c r="AH1" s="42" t="s">
        <v>265</v>
      </c>
      <c r="AI1" s="42" t="s">
        <v>266</v>
      </c>
      <c r="AJ1" s="42" t="s">
        <v>267</v>
      </c>
      <c r="AK1" s="42" t="s">
        <v>268</v>
      </c>
      <c r="AL1" s="42" t="s">
        <v>269</v>
      </c>
      <c r="AM1" s="42" t="s">
        <v>270</v>
      </c>
      <c r="AN1" s="42" t="s">
        <v>271</v>
      </c>
      <c r="AO1" s="42" t="s">
        <v>272</v>
      </c>
      <c r="AP1" s="42" t="s">
        <v>273</v>
      </c>
    </row>
    <row r="2" spans="1:42" x14ac:dyDescent="0.25">
      <c r="A2" t="s">
        <v>274</v>
      </c>
      <c r="B2" t="s">
        <v>200</v>
      </c>
      <c r="C2" t="s">
        <v>275</v>
      </c>
      <c r="D2" t="s">
        <v>276</v>
      </c>
      <c r="E2" s="43">
        <v>46143</v>
      </c>
      <c r="F2" s="43">
        <v>46147</v>
      </c>
      <c r="G2" s="43">
        <v>46147</v>
      </c>
      <c r="H2" t="s">
        <v>220</v>
      </c>
      <c r="I2" t="s">
        <v>277</v>
      </c>
      <c r="J2" t="s">
        <v>278</v>
      </c>
      <c r="K2" s="43">
        <v>46143</v>
      </c>
      <c r="L2">
        <f t="shared" ref="L2:L33" si="0">X2</f>
        <v>243920</v>
      </c>
      <c r="M2" t="s">
        <v>279</v>
      </c>
      <c r="N2" t="s">
        <v>280</v>
      </c>
      <c r="O2" s="43">
        <v>46144</v>
      </c>
      <c r="P2">
        <f t="shared" ref="P2:P15" si="1">X2</f>
        <v>243920</v>
      </c>
      <c r="Q2" t="s">
        <v>281</v>
      </c>
      <c r="R2" t="s">
        <v>282</v>
      </c>
      <c r="S2" s="43">
        <v>46149</v>
      </c>
      <c r="T2">
        <f>X2</f>
        <v>243920</v>
      </c>
      <c r="U2">
        <f>T2</f>
        <v>243920</v>
      </c>
      <c r="V2">
        <f t="shared" ref="V2:V33" si="2">IF(R2&lt;&gt;"", T2-U2, 0)</f>
        <v>0</v>
      </c>
      <c r="W2" t="str">
        <f t="shared" ref="W2:W33" si="3">IF(OR(M2="Pendiente", M2="Rechazado"), "Presupuesto No Aprobado", IF(N2="", "Falta OC Mandante", IF(R2="", "OC Recibida - Pendiente Factura", IF(AND(L2=P2, P2=T2), "CUADRADO (3-WAY OK)", "DESCUADRE DE MONTOS"))))</f>
        <v>CUADRADO (3-WAY OK)</v>
      </c>
      <c r="X2">
        <f>SUMIFS(Detalle_OT!$I$2:$I$592,Detalle_OT!$B$2:$B$592,A2)</f>
        <v>243920</v>
      </c>
      <c r="Y2">
        <f>SUMIFS(Detalle_OT!$H$2:$H$592,Detalle_OT!$B$2:$B$592,A2,Detalle_OT!$C$2:$C$592,"Repuesto")</f>
        <v>113040</v>
      </c>
      <c r="Z2">
        <f>SUMIFS(Detalle_OT!$H$2:$H$592,Detalle_OT!$B$2:$B$592,A2,Detalle_OT!$C$2:$C$592,"Mano de Obra")</f>
        <v>46800</v>
      </c>
      <c r="AA2">
        <f t="shared" ref="AA2:AA33" si="4">IF(AK2=1, "", X2-Y2-Z2)</f>
        <v>84080</v>
      </c>
      <c r="AB2">
        <f t="shared" ref="AB2:AB33" si="5">IF(OR(AK2=1, X2=0, ISBLANK(X2)), "", AA2/X2)</f>
        <v>0.3447031813709413</v>
      </c>
      <c r="AC2" t="str">
        <f t="shared" ref="AC2:AC33" si="6">IF(AK2=1, "Pendiente de Validación", IF(AA2&lt;0, "Margen Negativo Confirmado", "Margen No Negativo Confirmado"))</f>
        <v>Margen No Negativo Confirmado</v>
      </c>
      <c r="AD2" t="str">
        <f t="shared" ref="AD2:AD33" si="7">YEAR(E2)&amp;"-"&amp;TEXT(MONTH(E2),"00")</f>
        <v>2026-05</v>
      </c>
      <c r="AE2" t="str">
        <f t="shared" ref="AE2:AE33" si="8">"Semana "&amp;WEEKNUM(E2)</f>
        <v>Semana 18</v>
      </c>
      <c r="AF2">
        <f t="shared" ref="AF2:AF33" si="9">IF(G2&lt;&gt;"", G2-E2, "")</f>
        <v>4</v>
      </c>
      <c r="AG2">
        <f t="shared" ref="AG2:AG33" si="10">IF(G2="","",IF(G2&lt;=F2,1,0))</f>
        <v>1</v>
      </c>
      <c r="AH2">
        <f>IF(AND(G2="",OR(I2="En Curso",I2="Reprogramada"),F2&lt;Dashboard!$B$5),1,0)</f>
        <v>0</v>
      </c>
      <c r="AI2">
        <f t="shared" ref="AI2:AI33" si="11">IF(AND(M2="Aprobado", N2=""), 1, 0)</f>
        <v>0</v>
      </c>
      <c r="AJ2">
        <f t="shared" ref="AJ2:AJ33" si="12">IF(AND(OR(I2="Terminada",I2="Entregada"), R2=""), 1, 0)</f>
        <v>0</v>
      </c>
      <c r="AK2">
        <f>IF(SUMIFS(Detalle_OT!$J$2:$J$592,Detalle_OT!$B$2:$B$592,A2)&gt;0,1,0)</f>
        <v>0</v>
      </c>
      <c r="AL2">
        <f>IF(AND(OR(Dashboard!$D$5="Todos",AD2=Dashboard!$D$5),OR(Dashboard!$F$5="Todos",D2=Dashboard!$F$5),OR(Dashboard!$H$5="Todos",I2=Dashboard!$H$5)),1,0)</f>
        <v>1</v>
      </c>
      <c r="AM2">
        <f>IF(AND(OR(Control_Mandante!$C$4="Todos", AD2=Control_Mandante!$C$4), OR(Control_Mandante!$F$4="Todos", B2=Control_Mandante!$F$4), OR(Control_Mandante!$I$4="Todos", W2=Control_Mandante!$I$4), OR(Control_Mandante!$L$4="Todos", H2=Control_Mandante!$L$4)), 1, 0)</f>
        <v>1</v>
      </c>
      <c r="AN2" t="str">
        <f>IF(AH2=1, COUNTIF(AH$2:AH2, 1), "")</f>
        <v/>
      </c>
      <c r="AO2" t="str">
        <f>IF(AJ2=1, COUNTIF(AJ$2:AJ2, 1), "")</f>
        <v/>
      </c>
      <c r="AP2" t="str">
        <f>IF(AK2=1, COUNTIF(AK$2:AK2, 1), "")</f>
        <v/>
      </c>
    </row>
    <row r="3" spans="1:42" x14ac:dyDescent="0.25">
      <c r="A3" t="s">
        <v>283</v>
      </c>
      <c r="B3" t="s">
        <v>200</v>
      </c>
      <c r="C3" t="s">
        <v>284</v>
      </c>
      <c r="D3" t="s">
        <v>276</v>
      </c>
      <c r="E3" s="43">
        <v>46146</v>
      </c>
      <c r="F3" s="43">
        <v>46148</v>
      </c>
      <c r="G3" s="43">
        <v>46157</v>
      </c>
      <c r="H3" t="s">
        <v>215</v>
      </c>
      <c r="I3" t="s">
        <v>277</v>
      </c>
      <c r="J3" t="s">
        <v>285</v>
      </c>
      <c r="K3" s="43">
        <v>46146</v>
      </c>
      <c r="L3">
        <f t="shared" si="0"/>
        <v>215570</v>
      </c>
      <c r="M3" t="s">
        <v>279</v>
      </c>
      <c r="N3" t="s">
        <v>286</v>
      </c>
      <c r="O3" s="43">
        <v>46147</v>
      </c>
      <c r="P3">
        <f t="shared" si="1"/>
        <v>215570</v>
      </c>
      <c r="Q3" t="s">
        <v>281</v>
      </c>
      <c r="R3" t="s">
        <v>287</v>
      </c>
      <c r="S3" s="43">
        <v>46159</v>
      </c>
      <c r="T3">
        <f>X3</f>
        <v>215570</v>
      </c>
      <c r="U3">
        <f>T3</f>
        <v>215570</v>
      </c>
      <c r="V3">
        <f t="shared" si="2"/>
        <v>0</v>
      </c>
      <c r="W3" t="str">
        <f t="shared" si="3"/>
        <v>CUADRADO (3-WAY OK)</v>
      </c>
      <c r="X3">
        <f>SUMIFS(Detalle_OT!$I$2:$I$592,Detalle_OT!$B$2:$B$592,A3)</f>
        <v>215570</v>
      </c>
      <c r="Y3">
        <f>SUMIFS(Detalle_OT!$H$2:$H$592,Detalle_OT!$B$2:$B$592,A3,Detalle_OT!$C$2:$C$592,"Repuesto")</f>
        <v>94290</v>
      </c>
      <c r="Z3">
        <f>SUMIFS(Detalle_OT!$H$2:$H$592,Detalle_OT!$B$2:$B$592,A3,Detalle_OT!$C$2:$C$592,"Mano de Obra")</f>
        <v>51600</v>
      </c>
      <c r="AA3">
        <f t="shared" si="4"/>
        <v>69680</v>
      </c>
      <c r="AB3">
        <f t="shared" si="5"/>
        <v>0.323236071809621</v>
      </c>
      <c r="AC3" t="str">
        <f t="shared" si="6"/>
        <v>Margen No Negativo Confirmado</v>
      </c>
      <c r="AD3" t="str">
        <f t="shared" si="7"/>
        <v>2026-05</v>
      </c>
      <c r="AE3" t="str">
        <f t="shared" si="8"/>
        <v>Semana 19</v>
      </c>
      <c r="AF3">
        <f t="shared" si="9"/>
        <v>11</v>
      </c>
      <c r="AG3">
        <f t="shared" si="10"/>
        <v>0</v>
      </c>
      <c r="AH3">
        <f>IF(AND(G3="",OR(I3="En Curso",I3="Reprogramada"),F3&lt;Dashboard!$B$5),1,0)</f>
        <v>0</v>
      </c>
      <c r="AI3">
        <f t="shared" si="11"/>
        <v>0</v>
      </c>
      <c r="AJ3">
        <f t="shared" si="12"/>
        <v>0</v>
      </c>
      <c r="AK3">
        <f>IF(SUMIFS(Detalle_OT!$J$2:$J$592,Detalle_OT!$B$2:$B$592,A3)&gt;0,1,0)</f>
        <v>0</v>
      </c>
      <c r="AL3">
        <f>IF(AND(OR(Dashboard!$D$5="Todos",AD3=Dashboard!$D$5),OR(Dashboard!$F$5="Todos",D3=Dashboard!$F$5),OR(Dashboard!$H$5="Todos",I3=Dashboard!$H$5)),1,0)</f>
        <v>1</v>
      </c>
      <c r="AM3">
        <f>IF(AND(OR(Control_Mandante!$C$4="Todos", AD3=Control_Mandante!$C$4), OR(Control_Mandante!$F$4="Todos", B3=Control_Mandante!$F$4), OR(Control_Mandante!$I$4="Todos", W3=Control_Mandante!$I$4), OR(Control_Mandante!$L$4="Todos", H3=Control_Mandante!$L$4)), 1, 0)</f>
        <v>1</v>
      </c>
      <c r="AN3" t="str">
        <f>IF(AH3=1, COUNTIF(AH$2:AH3, 1), "")</f>
        <v/>
      </c>
      <c r="AO3" t="str">
        <f>IF(AJ3=1, COUNTIF(AJ$2:AJ3, 1), "")</f>
        <v/>
      </c>
      <c r="AP3" t="str">
        <f>IF(AK3=1, COUNTIF(AK$2:AK3, 1), "")</f>
        <v/>
      </c>
    </row>
    <row r="4" spans="1:42" x14ac:dyDescent="0.25">
      <c r="A4" t="s">
        <v>288</v>
      </c>
      <c r="B4" t="s">
        <v>180</v>
      </c>
      <c r="C4" t="s">
        <v>289</v>
      </c>
      <c r="D4" t="s">
        <v>276</v>
      </c>
      <c r="E4" s="43">
        <v>46146</v>
      </c>
      <c r="F4" s="43">
        <v>46149</v>
      </c>
      <c r="G4" s="43">
        <v>46149</v>
      </c>
      <c r="H4" t="s">
        <v>220</v>
      </c>
      <c r="I4" t="s">
        <v>290</v>
      </c>
      <c r="J4" t="s">
        <v>291</v>
      </c>
      <c r="K4" s="43">
        <v>46146</v>
      </c>
      <c r="L4">
        <f t="shared" si="0"/>
        <v>168410</v>
      </c>
      <c r="M4" t="s">
        <v>279</v>
      </c>
      <c r="N4" t="s">
        <v>292</v>
      </c>
      <c r="O4" s="43">
        <v>46147</v>
      </c>
      <c r="P4">
        <f t="shared" si="1"/>
        <v>168410</v>
      </c>
      <c r="Q4" t="s">
        <v>281</v>
      </c>
      <c r="T4">
        <v>0</v>
      </c>
      <c r="U4">
        <v>0</v>
      </c>
      <c r="V4">
        <f t="shared" si="2"/>
        <v>0</v>
      </c>
      <c r="W4" t="str">
        <f t="shared" si="3"/>
        <v>OC Recibida - Pendiente Factura</v>
      </c>
      <c r="X4">
        <f>SUMIFS(Detalle_OT!$I$2:$I$592,Detalle_OT!$B$2:$B$592,A4)</f>
        <v>168410</v>
      </c>
      <c r="Y4">
        <f>SUMIFS(Detalle_OT!$H$2:$H$592,Detalle_OT!$B$2:$B$592,A4,Detalle_OT!$C$2:$C$592,"Repuesto")</f>
        <v>92150</v>
      </c>
      <c r="Z4">
        <f>SUMIFS(Detalle_OT!$H$2:$H$592,Detalle_OT!$B$2:$B$592,A4,Detalle_OT!$C$2:$C$592,"Mano de Obra")</f>
        <v>27200</v>
      </c>
      <c r="AA4">
        <f t="shared" si="4"/>
        <v>49060</v>
      </c>
      <c r="AB4">
        <f t="shared" si="5"/>
        <v>0.29131286740692358</v>
      </c>
      <c r="AC4" t="str">
        <f t="shared" si="6"/>
        <v>Margen No Negativo Confirmado</v>
      </c>
      <c r="AD4" t="str">
        <f t="shared" si="7"/>
        <v>2026-05</v>
      </c>
      <c r="AE4" t="str">
        <f t="shared" si="8"/>
        <v>Semana 19</v>
      </c>
      <c r="AF4">
        <f t="shared" si="9"/>
        <v>3</v>
      </c>
      <c r="AG4">
        <f t="shared" si="10"/>
        <v>1</v>
      </c>
      <c r="AH4">
        <f>IF(AND(G4="",OR(I4="En Curso",I4="Reprogramada"),F4&lt;Dashboard!$B$5),1,0)</f>
        <v>0</v>
      </c>
      <c r="AI4">
        <f t="shared" si="11"/>
        <v>0</v>
      </c>
      <c r="AJ4">
        <f t="shared" si="12"/>
        <v>1</v>
      </c>
      <c r="AK4">
        <f>IF(SUMIFS(Detalle_OT!$J$2:$J$592,Detalle_OT!$B$2:$B$592,A4)&gt;0,1,0)</f>
        <v>0</v>
      </c>
      <c r="AL4">
        <f>IF(AND(OR(Dashboard!$D$5="Todos",AD4=Dashboard!$D$5),OR(Dashboard!$F$5="Todos",D4=Dashboard!$F$5),OR(Dashboard!$H$5="Todos",I4=Dashboard!$H$5)),1,0)</f>
        <v>1</v>
      </c>
      <c r="AM4">
        <f>IF(AND(OR(Control_Mandante!$C$4="Todos", AD4=Control_Mandante!$C$4), OR(Control_Mandante!$F$4="Todos", B4=Control_Mandante!$F$4), OR(Control_Mandante!$I$4="Todos", W4=Control_Mandante!$I$4), OR(Control_Mandante!$L$4="Todos", H4=Control_Mandante!$L$4)), 1, 0)</f>
        <v>1</v>
      </c>
      <c r="AN4" t="str">
        <f>IF(AH4=1, COUNTIF(AH$2:AH4, 1), "")</f>
        <v/>
      </c>
      <c r="AO4">
        <f>IF(AJ4=1, COUNTIF(AJ$2:AJ4, 1), "")</f>
        <v>1</v>
      </c>
      <c r="AP4" t="str">
        <f>IF(AK4=1, COUNTIF(AK$2:AK4, 1), "")</f>
        <v/>
      </c>
    </row>
    <row r="5" spans="1:42" x14ac:dyDescent="0.25">
      <c r="A5" t="s">
        <v>293</v>
      </c>
      <c r="B5" t="s">
        <v>180</v>
      </c>
      <c r="C5" t="s">
        <v>294</v>
      </c>
      <c r="D5" t="s">
        <v>295</v>
      </c>
      <c r="E5" s="43">
        <v>46149</v>
      </c>
      <c r="F5" s="43">
        <v>46161</v>
      </c>
      <c r="G5" s="43">
        <v>46161</v>
      </c>
      <c r="H5" t="s">
        <v>227</v>
      </c>
      <c r="I5" t="s">
        <v>277</v>
      </c>
      <c r="J5" t="s">
        <v>296</v>
      </c>
      <c r="K5" s="43">
        <v>46149</v>
      </c>
      <c r="L5">
        <f t="shared" si="0"/>
        <v>971280</v>
      </c>
      <c r="M5" t="s">
        <v>279</v>
      </c>
      <c r="N5" t="s">
        <v>297</v>
      </c>
      <c r="O5" s="43">
        <v>46150</v>
      </c>
      <c r="P5">
        <f t="shared" si="1"/>
        <v>971280</v>
      </c>
      <c r="Q5" t="s">
        <v>281</v>
      </c>
      <c r="R5" t="s">
        <v>298</v>
      </c>
      <c r="S5" s="43">
        <v>46163</v>
      </c>
      <c r="T5">
        <f t="shared" ref="T5:T15" si="13">X5</f>
        <v>971280</v>
      </c>
      <c r="U5">
        <f>T5</f>
        <v>971280</v>
      </c>
      <c r="V5">
        <f t="shared" si="2"/>
        <v>0</v>
      </c>
      <c r="W5" t="str">
        <f t="shared" si="3"/>
        <v>CUADRADO (3-WAY OK)</v>
      </c>
      <c r="X5">
        <f>SUMIFS(Detalle_OT!$I$2:$I$592,Detalle_OT!$B$2:$B$592,A5)</f>
        <v>971280</v>
      </c>
      <c r="Y5">
        <f>SUMIFS(Detalle_OT!$H$2:$H$592,Detalle_OT!$B$2:$B$592,A5,Detalle_OT!$C$2:$C$592,"Repuesto")</f>
        <v>376360</v>
      </c>
      <c r="Z5">
        <f>SUMIFS(Detalle_OT!$H$2:$H$592,Detalle_OT!$B$2:$B$592,A5,Detalle_OT!$C$2:$C$592,"Mano de Obra")</f>
        <v>287700</v>
      </c>
      <c r="AA5">
        <f t="shared" si="4"/>
        <v>307220</v>
      </c>
      <c r="AB5">
        <f t="shared" si="5"/>
        <v>0.31630425829832798</v>
      </c>
      <c r="AC5" t="str">
        <f t="shared" si="6"/>
        <v>Margen No Negativo Confirmado</v>
      </c>
      <c r="AD5" t="str">
        <f t="shared" si="7"/>
        <v>2026-05</v>
      </c>
      <c r="AE5" t="str">
        <f t="shared" si="8"/>
        <v>Semana 19</v>
      </c>
      <c r="AF5">
        <f t="shared" si="9"/>
        <v>12</v>
      </c>
      <c r="AG5">
        <f t="shared" si="10"/>
        <v>1</v>
      </c>
      <c r="AH5">
        <f>IF(AND(G5="",OR(I5="En Curso",I5="Reprogramada"),F5&lt;Dashboard!$B$5),1,0)</f>
        <v>0</v>
      </c>
      <c r="AI5">
        <f t="shared" si="11"/>
        <v>0</v>
      </c>
      <c r="AJ5">
        <f t="shared" si="12"/>
        <v>0</v>
      </c>
      <c r="AK5">
        <f>IF(SUMIFS(Detalle_OT!$J$2:$J$592,Detalle_OT!$B$2:$B$592,A5)&gt;0,1,0)</f>
        <v>0</v>
      </c>
      <c r="AL5">
        <f>IF(AND(OR(Dashboard!$D$5="Todos",AD5=Dashboard!$D$5),OR(Dashboard!$F$5="Todos",D5=Dashboard!$F$5),OR(Dashboard!$H$5="Todos",I5=Dashboard!$H$5)),1,0)</f>
        <v>1</v>
      </c>
      <c r="AM5">
        <f>IF(AND(OR(Control_Mandante!$C$4="Todos", AD5=Control_Mandante!$C$4), OR(Control_Mandante!$F$4="Todos", B5=Control_Mandante!$F$4), OR(Control_Mandante!$I$4="Todos", W5=Control_Mandante!$I$4), OR(Control_Mandante!$L$4="Todos", H5=Control_Mandante!$L$4)), 1, 0)</f>
        <v>1</v>
      </c>
      <c r="AN5" t="str">
        <f>IF(AH5=1, COUNTIF(AH$2:AH5, 1), "")</f>
        <v/>
      </c>
      <c r="AO5" t="str">
        <f>IF(AJ5=1, COUNTIF(AJ$2:AJ5, 1), "")</f>
        <v/>
      </c>
      <c r="AP5" t="str">
        <f>IF(AK5=1, COUNTIF(AK$2:AK5, 1), "")</f>
        <v/>
      </c>
    </row>
    <row r="6" spans="1:42" x14ac:dyDescent="0.25">
      <c r="A6" t="s">
        <v>299</v>
      </c>
      <c r="B6" t="s">
        <v>193</v>
      </c>
      <c r="C6" t="s">
        <v>300</v>
      </c>
      <c r="D6" t="s">
        <v>301</v>
      </c>
      <c r="E6" s="43">
        <v>46149</v>
      </c>
      <c r="F6" s="43">
        <v>46157</v>
      </c>
      <c r="G6" s="43">
        <v>46156</v>
      </c>
      <c r="H6" t="s">
        <v>220</v>
      </c>
      <c r="I6" t="s">
        <v>277</v>
      </c>
      <c r="J6" t="s">
        <v>302</v>
      </c>
      <c r="K6" s="43">
        <v>46149</v>
      </c>
      <c r="L6">
        <f t="shared" si="0"/>
        <v>562660</v>
      </c>
      <c r="M6" t="s">
        <v>279</v>
      </c>
      <c r="N6" t="s">
        <v>303</v>
      </c>
      <c r="O6" s="43">
        <v>46150</v>
      </c>
      <c r="P6">
        <f t="shared" si="1"/>
        <v>562660</v>
      </c>
      <c r="Q6" t="s">
        <v>281</v>
      </c>
      <c r="R6" t="s">
        <v>304</v>
      </c>
      <c r="S6" s="43">
        <v>46158</v>
      </c>
      <c r="T6">
        <f t="shared" si="13"/>
        <v>562660</v>
      </c>
      <c r="U6">
        <f>T6</f>
        <v>562660</v>
      </c>
      <c r="V6">
        <f t="shared" si="2"/>
        <v>0</v>
      </c>
      <c r="W6" t="str">
        <f t="shared" si="3"/>
        <v>CUADRADO (3-WAY OK)</v>
      </c>
      <c r="X6">
        <f>SUMIFS(Detalle_OT!$I$2:$I$592,Detalle_OT!$B$2:$B$592,A6)</f>
        <v>562660</v>
      </c>
      <c r="Y6">
        <f>SUMIFS(Detalle_OT!$H$2:$H$592,Detalle_OT!$B$2:$B$592,A6,Detalle_OT!$C$2:$C$592,"Repuesto")</f>
        <v>16100</v>
      </c>
      <c r="Z6">
        <f>SUMIFS(Detalle_OT!$H$2:$H$592,Detalle_OT!$B$2:$B$592,A6,Detalle_OT!$C$2:$C$592,"Mano de Obra")</f>
        <v>276800</v>
      </c>
      <c r="AA6">
        <f t="shared" si="4"/>
        <v>269760</v>
      </c>
      <c r="AB6">
        <f t="shared" si="5"/>
        <v>0.4794369601535563</v>
      </c>
      <c r="AC6" t="str">
        <f t="shared" si="6"/>
        <v>Margen No Negativo Confirmado</v>
      </c>
      <c r="AD6" t="str">
        <f t="shared" si="7"/>
        <v>2026-05</v>
      </c>
      <c r="AE6" t="str">
        <f t="shared" si="8"/>
        <v>Semana 19</v>
      </c>
      <c r="AF6">
        <f t="shared" si="9"/>
        <v>7</v>
      </c>
      <c r="AG6">
        <f t="shared" si="10"/>
        <v>1</v>
      </c>
      <c r="AH6">
        <f>IF(AND(G6="",OR(I6="En Curso",I6="Reprogramada"),F6&lt;Dashboard!$B$5),1,0)</f>
        <v>0</v>
      </c>
      <c r="AI6">
        <f t="shared" si="11"/>
        <v>0</v>
      </c>
      <c r="AJ6">
        <f t="shared" si="12"/>
        <v>0</v>
      </c>
      <c r="AK6">
        <f>IF(SUMIFS(Detalle_OT!$J$2:$J$592,Detalle_OT!$B$2:$B$592,A6)&gt;0,1,0)</f>
        <v>0</v>
      </c>
      <c r="AL6">
        <f>IF(AND(OR(Dashboard!$D$5="Todos",AD6=Dashboard!$D$5),OR(Dashboard!$F$5="Todos",D6=Dashboard!$F$5),OR(Dashboard!$H$5="Todos",I6=Dashboard!$H$5)),1,0)</f>
        <v>1</v>
      </c>
      <c r="AM6">
        <f>IF(AND(OR(Control_Mandante!$C$4="Todos", AD6=Control_Mandante!$C$4), OR(Control_Mandante!$F$4="Todos", B6=Control_Mandante!$F$4), OR(Control_Mandante!$I$4="Todos", W6=Control_Mandante!$I$4), OR(Control_Mandante!$L$4="Todos", H6=Control_Mandante!$L$4)), 1, 0)</f>
        <v>1</v>
      </c>
      <c r="AN6" t="str">
        <f>IF(AH6=1, COUNTIF(AH$2:AH6, 1), "")</f>
        <v/>
      </c>
      <c r="AO6" t="str">
        <f>IF(AJ6=1, COUNTIF(AJ$2:AJ6, 1), "")</f>
        <v/>
      </c>
      <c r="AP6" t="str">
        <f>IF(AK6=1, COUNTIF(AK$2:AK6, 1), "")</f>
        <v/>
      </c>
    </row>
    <row r="7" spans="1:42" x14ac:dyDescent="0.25">
      <c r="A7" t="s">
        <v>305</v>
      </c>
      <c r="B7" t="s">
        <v>206</v>
      </c>
      <c r="C7" t="s">
        <v>306</v>
      </c>
      <c r="D7" t="s">
        <v>295</v>
      </c>
      <c r="E7" s="43">
        <v>46149</v>
      </c>
      <c r="F7" s="43">
        <v>46169</v>
      </c>
      <c r="G7" s="43">
        <v>46173</v>
      </c>
      <c r="H7" t="s">
        <v>225</v>
      </c>
      <c r="I7" t="s">
        <v>277</v>
      </c>
      <c r="J7" t="s">
        <v>307</v>
      </c>
      <c r="K7" s="43">
        <v>46149</v>
      </c>
      <c r="L7">
        <f t="shared" si="0"/>
        <v>1311820</v>
      </c>
      <c r="M7" t="s">
        <v>279</v>
      </c>
      <c r="N7" t="s">
        <v>308</v>
      </c>
      <c r="O7" s="43">
        <v>46150</v>
      </c>
      <c r="P7">
        <f t="shared" si="1"/>
        <v>1311820</v>
      </c>
      <c r="Q7" t="s">
        <v>281</v>
      </c>
      <c r="R7" t="s">
        <v>309</v>
      </c>
      <c r="S7" s="43">
        <v>46175</v>
      </c>
      <c r="T7">
        <f t="shared" si="13"/>
        <v>1311820</v>
      </c>
      <c r="U7">
        <f>T7*0.5</f>
        <v>655910</v>
      </c>
      <c r="V7">
        <f t="shared" si="2"/>
        <v>655910</v>
      </c>
      <c r="W7" t="str">
        <f t="shared" si="3"/>
        <v>CUADRADO (3-WAY OK)</v>
      </c>
      <c r="X7">
        <f>SUMIFS(Detalle_OT!$I$2:$I$592,Detalle_OT!$B$2:$B$592,A7)</f>
        <v>1311820</v>
      </c>
      <c r="Y7">
        <f>SUMIFS(Detalle_OT!$H$2:$H$592,Detalle_OT!$B$2:$B$592,A7,Detalle_OT!$C$2:$C$592,"Repuesto")</f>
        <v>452560</v>
      </c>
      <c r="Z7">
        <f>SUMIFS(Detalle_OT!$H$2:$H$592,Detalle_OT!$B$2:$B$592,A7,Detalle_OT!$C$2:$C$592,"Mano de Obra")</f>
        <v>385100</v>
      </c>
      <c r="AA7">
        <f t="shared" si="4"/>
        <v>474160</v>
      </c>
      <c r="AB7">
        <f t="shared" si="5"/>
        <v>0.36145202847951702</v>
      </c>
      <c r="AC7" t="str">
        <f t="shared" si="6"/>
        <v>Margen No Negativo Confirmado</v>
      </c>
      <c r="AD7" t="str">
        <f t="shared" si="7"/>
        <v>2026-05</v>
      </c>
      <c r="AE7" t="str">
        <f t="shared" si="8"/>
        <v>Semana 19</v>
      </c>
      <c r="AF7">
        <f t="shared" si="9"/>
        <v>24</v>
      </c>
      <c r="AG7">
        <f t="shared" si="10"/>
        <v>0</v>
      </c>
      <c r="AH7">
        <f>IF(AND(G7="",OR(I7="En Curso",I7="Reprogramada"),F7&lt;Dashboard!$B$5),1,0)</f>
        <v>0</v>
      </c>
      <c r="AI7">
        <f t="shared" si="11"/>
        <v>0</v>
      </c>
      <c r="AJ7">
        <f t="shared" si="12"/>
        <v>0</v>
      </c>
      <c r="AK7">
        <f>IF(SUMIFS(Detalle_OT!$J$2:$J$592,Detalle_OT!$B$2:$B$592,A7)&gt;0,1,0)</f>
        <v>0</v>
      </c>
      <c r="AL7">
        <f>IF(AND(OR(Dashboard!$D$5="Todos",AD7=Dashboard!$D$5),OR(Dashboard!$F$5="Todos",D7=Dashboard!$F$5),OR(Dashboard!$H$5="Todos",I7=Dashboard!$H$5)),1,0)</f>
        <v>1</v>
      </c>
      <c r="AM7">
        <f>IF(AND(OR(Control_Mandante!$C$4="Todos", AD7=Control_Mandante!$C$4), OR(Control_Mandante!$F$4="Todos", B7=Control_Mandante!$F$4), OR(Control_Mandante!$I$4="Todos", W7=Control_Mandante!$I$4), OR(Control_Mandante!$L$4="Todos", H7=Control_Mandante!$L$4)), 1, 0)</f>
        <v>1</v>
      </c>
      <c r="AN7" t="str">
        <f>IF(AH7=1, COUNTIF(AH$2:AH7, 1), "")</f>
        <v/>
      </c>
      <c r="AO7" t="str">
        <f>IF(AJ7=1, COUNTIF(AJ$2:AJ7, 1), "")</f>
        <v/>
      </c>
      <c r="AP7" t="str">
        <f>IF(AK7=1, COUNTIF(AK$2:AK7, 1), "")</f>
        <v/>
      </c>
    </row>
    <row r="8" spans="1:42" x14ac:dyDescent="0.25">
      <c r="A8" t="s">
        <v>310</v>
      </c>
      <c r="B8" t="s">
        <v>193</v>
      </c>
      <c r="C8" t="s">
        <v>311</v>
      </c>
      <c r="D8" t="s">
        <v>276</v>
      </c>
      <c r="E8" s="43">
        <v>46150</v>
      </c>
      <c r="F8" s="43">
        <v>46152</v>
      </c>
      <c r="G8" s="43">
        <v>46151</v>
      </c>
      <c r="H8" t="s">
        <v>220</v>
      </c>
      <c r="I8" t="s">
        <v>277</v>
      </c>
      <c r="J8" t="s">
        <v>312</v>
      </c>
      <c r="K8" s="43">
        <v>46150</v>
      </c>
      <c r="L8">
        <f t="shared" si="0"/>
        <v>338760</v>
      </c>
      <c r="M8" t="s">
        <v>279</v>
      </c>
      <c r="N8" t="s">
        <v>313</v>
      </c>
      <c r="O8" s="43">
        <v>46151</v>
      </c>
      <c r="P8">
        <f t="shared" si="1"/>
        <v>338760</v>
      </c>
      <c r="Q8" t="s">
        <v>281</v>
      </c>
      <c r="R8" t="s">
        <v>314</v>
      </c>
      <c r="S8" s="43">
        <v>46153</v>
      </c>
      <c r="T8">
        <f t="shared" si="13"/>
        <v>338760</v>
      </c>
      <c r="U8">
        <f>T8</f>
        <v>338760</v>
      </c>
      <c r="V8">
        <f t="shared" si="2"/>
        <v>0</v>
      </c>
      <c r="W8" t="str">
        <f t="shared" si="3"/>
        <v>CUADRADO (3-WAY OK)</v>
      </c>
      <c r="X8">
        <f>SUMIFS(Detalle_OT!$I$2:$I$592,Detalle_OT!$B$2:$B$592,A8)</f>
        <v>338760</v>
      </c>
      <c r="Y8">
        <f>SUMIFS(Detalle_OT!$H$2:$H$592,Detalle_OT!$B$2:$B$592,A8,Detalle_OT!$C$2:$C$592,"Repuesto")</f>
        <v>42600</v>
      </c>
      <c r="Z8">
        <f>SUMIFS(Detalle_OT!$H$2:$H$592,Detalle_OT!$B$2:$B$592,A8,Detalle_OT!$C$2:$C$592,"Mano de Obra")</f>
        <v>150400</v>
      </c>
      <c r="AA8">
        <f t="shared" si="4"/>
        <v>145760</v>
      </c>
      <c r="AB8">
        <f t="shared" si="5"/>
        <v>0.4302751210296375</v>
      </c>
      <c r="AC8" t="str">
        <f t="shared" si="6"/>
        <v>Margen No Negativo Confirmado</v>
      </c>
      <c r="AD8" t="str">
        <f t="shared" si="7"/>
        <v>2026-05</v>
      </c>
      <c r="AE8" t="str">
        <f t="shared" si="8"/>
        <v>Semana 19</v>
      </c>
      <c r="AF8">
        <f t="shared" si="9"/>
        <v>1</v>
      </c>
      <c r="AG8">
        <f t="shared" si="10"/>
        <v>1</v>
      </c>
      <c r="AH8">
        <f>IF(AND(G8="",OR(I8="En Curso",I8="Reprogramada"),F8&lt;Dashboard!$B$5),1,0)</f>
        <v>0</v>
      </c>
      <c r="AI8">
        <f t="shared" si="11"/>
        <v>0</v>
      </c>
      <c r="AJ8">
        <f t="shared" si="12"/>
        <v>0</v>
      </c>
      <c r="AK8">
        <f>IF(SUMIFS(Detalle_OT!$J$2:$J$592,Detalle_OT!$B$2:$B$592,A8)&gt;0,1,0)</f>
        <v>0</v>
      </c>
      <c r="AL8">
        <f>IF(AND(OR(Dashboard!$D$5="Todos",AD8=Dashboard!$D$5),OR(Dashboard!$F$5="Todos",D8=Dashboard!$F$5),OR(Dashboard!$H$5="Todos",I8=Dashboard!$H$5)),1,0)</f>
        <v>1</v>
      </c>
      <c r="AM8">
        <f>IF(AND(OR(Control_Mandante!$C$4="Todos", AD8=Control_Mandante!$C$4), OR(Control_Mandante!$F$4="Todos", B8=Control_Mandante!$F$4), OR(Control_Mandante!$I$4="Todos", W8=Control_Mandante!$I$4), OR(Control_Mandante!$L$4="Todos", H8=Control_Mandante!$L$4)), 1, 0)</f>
        <v>1</v>
      </c>
      <c r="AN8" t="str">
        <f>IF(AH8=1, COUNTIF(AH$2:AH8, 1), "")</f>
        <v/>
      </c>
      <c r="AO8" t="str">
        <f>IF(AJ8=1, COUNTIF(AJ$2:AJ8, 1), "")</f>
        <v/>
      </c>
      <c r="AP8" t="str">
        <f>IF(AK8=1, COUNTIF(AK$2:AK8, 1), "")</f>
        <v/>
      </c>
    </row>
    <row r="9" spans="1:42" x14ac:dyDescent="0.25">
      <c r="A9" t="s">
        <v>315</v>
      </c>
      <c r="B9" t="s">
        <v>155</v>
      </c>
      <c r="C9" t="s">
        <v>316</v>
      </c>
      <c r="D9" t="s">
        <v>295</v>
      </c>
      <c r="E9" s="43">
        <v>46153</v>
      </c>
      <c r="F9" s="43">
        <v>46164</v>
      </c>
      <c r="G9" s="43">
        <v>46167</v>
      </c>
      <c r="H9" t="s">
        <v>227</v>
      </c>
      <c r="I9" t="s">
        <v>277</v>
      </c>
      <c r="J9" t="s">
        <v>317</v>
      </c>
      <c r="K9" s="43">
        <v>46153</v>
      </c>
      <c r="L9">
        <f t="shared" si="0"/>
        <v>916200</v>
      </c>
      <c r="M9" t="s">
        <v>279</v>
      </c>
      <c r="N9" t="s">
        <v>318</v>
      </c>
      <c r="O9" s="43">
        <v>46154</v>
      </c>
      <c r="P9">
        <f t="shared" si="1"/>
        <v>916200</v>
      </c>
      <c r="Q9" t="s">
        <v>281</v>
      </c>
      <c r="R9" t="s">
        <v>319</v>
      </c>
      <c r="S9" s="43">
        <v>46169</v>
      </c>
      <c r="T9">
        <f t="shared" si="13"/>
        <v>916200</v>
      </c>
      <c r="U9">
        <f>T9</f>
        <v>916200</v>
      </c>
      <c r="V9">
        <f t="shared" si="2"/>
        <v>0</v>
      </c>
      <c r="W9" t="str">
        <f t="shared" si="3"/>
        <v>CUADRADO (3-WAY OK)</v>
      </c>
      <c r="X9">
        <f>SUMIFS(Detalle_OT!$I$2:$I$592,Detalle_OT!$B$2:$B$592,A9)</f>
        <v>916200</v>
      </c>
      <c r="Y9">
        <f>SUMIFS(Detalle_OT!$H$2:$H$592,Detalle_OT!$B$2:$B$592,A9,Detalle_OT!$C$2:$C$592,"Repuesto")</f>
        <v>416250</v>
      </c>
      <c r="Z9">
        <f>SUMIFS(Detalle_OT!$H$2:$H$592,Detalle_OT!$B$2:$B$592,A9,Detalle_OT!$C$2:$C$592,"Mano de Obra")</f>
        <v>330500</v>
      </c>
      <c r="AA9">
        <f t="shared" si="4"/>
        <v>169450</v>
      </c>
      <c r="AB9">
        <f t="shared" si="5"/>
        <v>0.18494870115695264</v>
      </c>
      <c r="AC9" t="str">
        <f t="shared" si="6"/>
        <v>Margen No Negativo Confirmado</v>
      </c>
      <c r="AD9" t="str">
        <f t="shared" si="7"/>
        <v>2026-05</v>
      </c>
      <c r="AE9" t="str">
        <f t="shared" si="8"/>
        <v>Semana 20</v>
      </c>
      <c r="AF9">
        <f t="shared" si="9"/>
        <v>14</v>
      </c>
      <c r="AG9">
        <f t="shared" si="10"/>
        <v>0</v>
      </c>
      <c r="AH9">
        <f>IF(AND(G9="",OR(I9="En Curso",I9="Reprogramada"),F9&lt;Dashboard!$B$5),1,0)</f>
        <v>0</v>
      </c>
      <c r="AI9">
        <f t="shared" si="11"/>
        <v>0</v>
      </c>
      <c r="AJ9">
        <f t="shared" si="12"/>
        <v>0</v>
      </c>
      <c r="AK9">
        <f>IF(SUMIFS(Detalle_OT!$J$2:$J$592,Detalle_OT!$B$2:$B$592,A9)&gt;0,1,0)</f>
        <v>0</v>
      </c>
      <c r="AL9">
        <f>IF(AND(OR(Dashboard!$D$5="Todos",AD9=Dashboard!$D$5),OR(Dashboard!$F$5="Todos",D9=Dashboard!$F$5),OR(Dashboard!$H$5="Todos",I9=Dashboard!$H$5)),1,0)</f>
        <v>1</v>
      </c>
      <c r="AM9">
        <f>IF(AND(OR(Control_Mandante!$C$4="Todos", AD9=Control_Mandante!$C$4), OR(Control_Mandante!$F$4="Todos", B9=Control_Mandante!$F$4), OR(Control_Mandante!$I$4="Todos", W9=Control_Mandante!$I$4), OR(Control_Mandante!$L$4="Todos", H9=Control_Mandante!$L$4)), 1, 0)</f>
        <v>1</v>
      </c>
      <c r="AN9" t="str">
        <f>IF(AH9=1, COUNTIF(AH$2:AH9, 1), "")</f>
        <v/>
      </c>
      <c r="AO9" t="str">
        <f>IF(AJ9=1, COUNTIF(AJ$2:AJ9, 1), "")</f>
        <v/>
      </c>
      <c r="AP9" t="str">
        <f>IF(AK9=1, COUNTIF(AK$2:AK9, 1), "")</f>
        <v/>
      </c>
    </row>
    <row r="10" spans="1:42" x14ac:dyDescent="0.25">
      <c r="A10" t="s">
        <v>320</v>
      </c>
      <c r="B10" t="s">
        <v>209</v>
      </c>
      <c r="C10" t="s">
        <v>321</v>
      </c>
      <c r="D10" t="s">
        <v>276</v>
      </c>
      <c r="E10" s="43">
        <v>46154</v>
      </c>
      <c r="F10" s="43">
        <v>46156</v>
      </c>
      <c r="G10" s="43">
        <v>46155</v>
      </c>
      <c r="H10" t="s">
        <v>215</v>
      </c>
      <c r="I10" t="s">
        <v>277</v>
      </c>
      <c r="J10" t="s">
        <v>322</v>
      </c>
      <c r="K10" s="43">
        <v>46154</v>
      </c>
      <c r="L10">
        <f t="shared" si="0"/>
        <v>292060</v>
      </c>
      <c r="M10" t="s">
        <v>279</v>
      </c>
      <c r="N10" t="s">
        <v>323</v>
      </c>
      <c r="O10" s="43">
        <v>46155</v>
      </c>
      <c r="P10">
        <f t="shared" si="1"/>
        <v>292060</v>
      </c>
      <c r="Q10" t="s">
        <v>281</v>
      </c>
      <c r="R10" t="s">
        <v>324</v>
      </c>
      <c r="S10" s="43">
        <v>46157</v>
      </c>
      <c r="T10">
        <f t="shared" si="13"/>
        <v>292060</v>
      </c>
      <c r="U10">
        <f>T10*0.5</f>
        <v>146030</v>
      </c>
      <c r="V10">
        <f t="shared" si="2"/>
        <v>146030</v>
      </c>
      <c r="W10" t="str">
        <f t="shared" si="3"/>
        <v>CUADRADO (3-WAY OK)</v>
      </c>
      <c r="X10">
        <f>SUMIFS(Detalle_OT!$I$2:$I$592,Detalle_OT!$B$2:$B$592,A10)</f>
        <v>292060</v>
      </c>
      <c r="Y10">
        <f>SUMIFS(Detalle_OT!$H$2:$H$592,Detalle_OT!$B$2:$B$592,A10,Detalle_OT!$C$2:$C$592,"Repuesto")</f>
        <v>118460</v>
      </c>
      <c r="Z10">
        <f>SUMIFS(Detalle_OT!$H$2:$H$592,Detalle_OT!$B$2:$B$592,A10,Detalle_OT!$C$2:$C$592,"Mano de Obra")</f>
        <v>71400</v>
      </c>
      <c r="AA10">
        <f t="shared" si="4"/>
        <v>102200</v>
      </c>
      <c r="AB10">
        <f t="shared" si="5"/>
        <v>0.34992809696637678</v>
      </c>
      <c r="AC10" t="str">
        <f t="shared" si="6"/>
        <v>Margen No Negativo Confirmado</v>
      </c>
      <c r="AD10" t="str">
        <f t="shared" si="7"/>
        <v>2026-05</v>
      </c>
      <c r="AE10" t="str">
        <f t="shared" si="8"/>
        <v>Semana 20</v>
      </c>
      <c r="AF10">
        <f t="shared" si="9"/>
        <v>1</v>
      </c>
      <c r="AG10">
        <f t="shared" si="10"/>
        <v>1</v>
      </c>
      <c r="AH10">
        <f>IF(AND(G10="",OR(I10="En Curso",I10="Reprogramada"),F10&lt;Dashboard!$B$5),1,0)</f>
        <v>0</v>
      </c>
      <c r="AI10">
        <f t="shared" si="11"/>
        <v>0</v>
      </c>
      <c r="AJ10">
        <f t="shared" si="12"/>
        <v>0</v>
      </c>
      <c r="AK10">
        <f>IF(SUMIFS(Detalle_OT!$J$2:$J$592,Detalle_OT!$B$2:$B$592,A10)&gt;0,1,0)</f>
        <v>0</v>
      </c>
      <c r="AL10">
        <f>IF(AND(OR(Dashboard!$D$5="Todos",AD10=Dashboard!$D$5),OR(Dashboard!$F$5="Todos",D10=Dashboard!$F$5),OR(Dashboard!$H$5="Todos",I10=Dashboard!$H$5)),1,0)</f>
        <v>1</v>
      </c>
      <c r="AM10">
        <f>IF(AND(OR(Control_Mandante!$C$4="Todos", AD10=Control_Mandante!$C$4), OR(Control_Mandante!$F$4="Todos", B10=Control_Mandante!$F$4), OR(Control_Mandante!$I$4="Todos", W10=Control_Mandante!$I$4), OR(Control_Mandante!$L$4="Todos", H10=Control_Mandante!$L$4)), 1, 0)</f>
        <v>1</v>
      </c>
      <c r="AN10" t="str">
        <f>IF(AH10=1, COUNTIF(AH$2:AH10, 1), "")</f>
        <v/>
      </c>
      <c r="AO10" t="str">
        <f>IF(AJ10=1, COUNTIF(AJ$2:AJ10, 1), "")</f>
        <v/>
      </c>
      <c r="AP10" t="str">
        <f>IF(AK10=1, COUNTIF(AK$2:AK10, 1), "")</f>
        <v/>
      </c>
    </row>
    <row r="11" spans="1:42" x14ac:dyDescent="0.25">
      <c r="A11" t="s">
        <v>325</v>
      </c>
      <c r="B11" t="s">
        <v>193</v>
      </c>
      <c r="C11" t="s">
        <v>326</v>
      </c>
      <c r="D11" t="s">
        <v>301</v>
      </c>
      <c r="E11" s="43">
        <v>46154</v>
      </c>
      <c r="F11" s="43">
        <v>46162</v>
      </c>
      <c r="G11" s="43">
        <v>46160</v>
      </c>
      <c r="H11" t="s">
        <v>215</v>
      </c>
      <c r="I11" t="s">
        <v>277</v>
      </c>
      <c r="J11" t="s">
        <v>327</v>
      </c>
      <c r="K11" s="43">
        <v>46154</v>
      </c>
      <c r="L11">
        <f t="shared" si="0"/>
        <v>418890</v>
      </c>
      <c r="M11" t="s">
        <v>279</v>
      </c>
      <c r="N11" t="s">
        <v>328</v>
      </c>
      <c r="O11" s="43">
        <v>46155</v>
      </c>
      <c r="P11">
        <f t="shared" si="1"/>
        <v>418890</v>
      </c>
      <c r="Q11" t="s">
        <v>281</v>
      </c>
      <c r="R11" t="s">
        <v>329</v>
      </c>
      <c r="S11" s="43">
        <v>46162</v>
      </c>
      <c r="T11">
        <f t="shared" si="13"/>
        <v>418890</v>
      </c>
      <c r="U11">
        <f>T11</f>
        <v>418890</v>
      </c>
      <c r="V11">
        <f t="shared" si="2"/>
        <v>0</v>
      </c>
      <c r="W11" t="str">
        <f t="shared" si="3"/>
        <v>CUADRADO (3-WAY OK)</v>
      </c>
      <c r="X11">
        <f>SUMIFS(Detalle_OT!$I$2:$I$592,Detalle_OT!$B$2:$B$592,A11)</f>
        <v>418890</v>
      </c>
      <c r="Y11">
        <f>SUMIFS(Detalle_OT!$H$2:$H$592,Detalle_OT!$B$2:$B$592,A11,Detalle_OT!$C$2:$C$592,"Repuesto")</f>
        <v>186360</v>
      </c>
      <c r="Z11">
        <f>SUMIFS(Detalle_OT!$H$2:$H$592,Detalle_OT!$B$2:$B$592,A11,Detalle_OT!$C$2:$C$592,"Mano de Obra")</f>
        <v>209600</v>
      </c>
      <c r="AA11">
        <f t="shared" si="4"/>
        <v>22930</v>
      </c>
      <c r="AB11">
        <f t="shared" si="5"/>
        <v>5.4739907851703309E-2</v>
      </c>
      <c r="AC11" t="str">
        <f t="shared" si="6"/>
        <v>Margen No Negativo Confirmado</v>
      </c>
      <c r="AD11" t="str">
        <f t="shared" si="7"/>
        <v>2026-05</v>
      </c>
      <c r="AE11" t="str">
        <f t="shared" si="8"/>
        <v>Semana 20</v>
      </c>
      <c r="AF11">
        <f t="shared" si="9"/>
        <v>6</v>
      </c>
      <c r="AG11">
        <f t="shared" si="10"/>
        <v>1</v>
      </c>
      <c r="AH11">
        <f>IF(AND(G11="",OR(I11="En Curso",I11="Reprogramada"),F11&lt;Dashboard!$B$5),1,0)</f>
        <v>0</v>
      </c>
      <c r="AI11">
        <f t="shared" si="11"/>
        <v>0</v>
      </c>
      <c r="AJ11">
        <f t="shared" si="12"/>
        <v>0</v>
      </c>
      <c r="AK11">
        <f>IF(SUMIFS(Detalle_OT!$J$2:$J$592,Detalle_OT!$B$2:$B$592,A11)&gt;0,1,0)</f>
        <v>0</v>
      </c>
      <c r="AL11">
        <f>IF(AND(OR(Dashboard!$D$5="Todos",AD11=Dashboard!$D$5),OR(Dashboard!$F$5="Todos",D11=Dashboard!$F$5),OR(Dashboard!$H$5="Todos",I11=Dashboard!$H$5)),1,0)</f>
        <v>1</v>
      </c>
      <c r="AM11">
        <f>IF(AND(OR(Control_Mandante!$C$4="Todos", AD11=Control_Mandante!$C$4), OR(Control_Mandante!$F$4="Todos", B11=Control_Mandante!$F$4), OR(Control_Mandante!$I$4="Todos", W11=Control_Mandante!$I$4), OR(Control_Mandante!$L$4="Todos", H11=Control_Mandante!$L$4)), 1, 0)</f>
        <v>1</v>
      </c>
      <c r="AN11" t="str">
        <f>IF(AH11=1, COUNTIF(AH$2:AH11, 1), "")</f>
        <v/>
      </c>
      <c r="AO11" t="str">
        <f>IF(AJ11=1, COUNTIF(AJ$2:AJ11, 1), "")</f>
        <v/>
      </c>
      <c r="AP11" t="str">
        <f>IF(AK11=1, COUNTIF(AK$2:AK11, 1), "")</f>
        <v/>
      </c>
    </row>
    <row r="12" spans="1:42" x14ac:dyDescent="0.25">
      <c r="A12" t="s">
        <v>330</v>
      </c>
      <c r="B12" t="s">
        <v>162</v>
      </c>
      <c r="C12" t="s">
        <v>331</v>
      </c>
      <c r="D12" t="s">
        <v>276</v>
      </c>
      <c r="E12" s="43">
        <v>46157</v>
      </c>
      <c r="F12" s="43">
        <v>46159</v>
      </c>
      <c r="G12" s="43">
        <v>46159</v>
      </c>
      <c r="H12" t="s">
        <v>218</v>
      </c>
      <c r="I12" t="s">
        <v>277</v>
      </c>
      <c r="J12" t="s">
        <v>332</v>
      </c>
      <c r="K12" s="43">
        <v>46157</v>
      </c>
      <c r="L12">
        <f t="shared" si="0"/>
        <v>425890</v>
      </c>
      <c r="M12" t="s">
        <v>279</v>
      </c>
      <c r="N12" t="s">
        <v>333</v>
      </c>
      <c r="O12" s="43">
        <v>46158</v>
      </c>
      <c r="P12">
        <f t="shared" si="1"/>
        <v>425890</v>
      </c>
      <c r="Q12" t="s">
        <v>281</v>
      </c>
      <c r="R12" t="s">
        <v>334</v>
      </c>
      <c r="S12" s="43">
        <v>46161</v>
      </c>
      <c r="T12">
        <f t="shared" si="13"/>
        <v>425890</v>
      </c>
      <c r="U12">
        <f>T12</f>
        <v>425890</v>
      </c>
      <c r="V12">
        <f t="shared" si="2"/>
        <v>0</v>
      </c>
      <c r="W12" t="str">
        <f t="shared" si="3"/>
        <v>CUADRADO (3-WAY OK)</v>
      </c>
      <c r="X12">
        <f>SUMIFS(Detalle_OT!$I$2:$I$592,Detalle_OT!$B$2:$B$592,A12)</f>
        <v>425890</v>
      </c>
      <c r="Y12">
        <f>SUMIFS(Detalle_OT!$H$2:$H$592,Detalle_OT!$B$2:$B$592,A12,Detalle_OT!$C$2:$C$592,"Repuesto")</f>
        <v>134480</v>
      </c>
      <c r="Z12">
        <f>SUMIFS(Detalle_OT!$H$2:$H$592,Detalle_OT!$B$2:$B$592,A12,Detalle_OT!$C$2:$C$592,"Mano de Obra")</f>
        <v>119200</v>
      </c>
      <c r="AA12">
        <f t="shared" si="4"/>
        <v>172210</v>
      </c>
      <c r="AB12">
        <f t="shared" si="5"/>
        <v>0.40435323675127383</v>
      </c>
      <c r="AC12" t="str">
        <f t="shared" si="6"/>
        <v>Margen No Negativo Confirmado</v>
      </c>
      <c r="AD12" t="str">
        <f t="shared" si="7"/>
        <v>2026-05</v>
      </c>
      <c r="AE12" t="str">
        <f t="shared" si="8"/>
        <v>Semana 20</v>
      </c>
      <c r="AF12">
        <f t="shared" si="9"/>
        <v>2</v>
      </c>
      <c r="AG12">
        <f t="shared" si="10"/>
        <v>1</v>
      </c>
      <c r="AH12">
        <f>IF(AND(G12="",OR(I12="En Curso",I12="Reprogramada"),F12&lt;Dashboard!$B$5),1,0)</f>
        <v>0</v>
      </c>
      <c r="AI12">
        <f t="shared" si="11"/>
        <v>0</v>
      </c>
      <c r="AJ12">
        <f t="shared" si="12"/>
        <v>0</v>
      </c>
      <c r="AK12">
        <f>IF(SUMIFS(Detalle_OT!$J$2:$J$592,Detalle_OT!$B$2:$B$592,A12)&gt;0,1,0)</f>
        <v>0</v>
      </c>
      <c r="AL12">
        <f>IF(AND(OR(Dashboard!$D$5="Todos",AD12=Dashboard!$D$5),OR(Dashboard!$F$5="Todos",D12=Dashboard!$F$5),OR(Dashboard!$H$5="Todos",I12=Dashboard!$H$5)),1,0)</f>
        <v>1</v>
      </c>
      <c r="AM12">
        <f>IF(AND(OR(Control_Mandante!$C$4="Todos", AD12=Control_Mandante!$C$4), OR(Control_Mandante!$F$4="Todos", B12=Control_Mandante!$F$4), OR(Control_Mandante!$I$4="Todos", W12=Control_Mandante!$I$4), OR(Control_Mandante!$L$4="Todos", H12=Control_Mandante!$L$4)), 1, 0)</f>
        <v>1</v>
      </c>
      <c r="AN12" t="str">
        <f>IF(AH12=1, COUNTIF(AH$2:AH12, 1), "")</f>
        <v/>
      </c>
      <c r="AO12" t="str">
        <f>IF(AJ12=1, COUNTIF(AJ$2:AJ12, 1), "")</f>
        <v/>
      </c>
      <c r="AP12" t="str">
        <f>IF(AK12=1, COUNTIF(AK$2:AK12, 1), "")</f>
        <v/>
      </c>
    </row>
    <row r="13" spans="1:42" x14ac:dyDescent="0.25">
      <c r="A13" t="s">
        <v>335</v>
      </c>
      <c r="B13" t="s">
        <v>200</v>
      </c>
      <c r="C13" t="s">
        <v>336</v>
      </c>
      <c r="D13" t="s">
        <v>301</v>
      </c>
      <c r="E13" s="43">
        <v>46158</v>
      </c>
      <c r="F13" s="43">
        <v>46161</v>
      </c>
      <c r="G13" s="43">
        <v>46159</v>
      </c>
      <c r="H13" t="s">
        <v>215</v>
      </c>
      <c r="I13" t="s">
        <v>277</v>
      </c>
      <c r="J13" t="s">
        <v>337</v>
      </c>
      <c r="K13" s="43">
        <v>46158</v>
      </c>
      <c r="L13">
        <f t="shared" si="0"/>
        <v>1042280</v>
      </c>
      <c r="M13" t="s">
        <v>279</v>
      </c>
      <c r="N13" t="s">
        <v>338</v>
      </c>
      <c r="O13" s="43">
        <v>46159</v>
      </c>
      <c r="P13">
        <f t="shared" si="1"/>
        <v>1042280</v>
      </c>
      <c r="Q13" t="s">
        <v>281</v>
      </c>
      <c r="R13" t="s">
        <v>339</v>
      </c>
      <c r="S13" s="43">
        <v>46161</v>
      </c>
      <c r="T13">
        <f t="shared" si="13"/>
        <v>1042280</v>
      </c>
      <c r="U13">
        <f>T13*0.5</f>
        <v>521140</v>
      </c>
      <c r="V13">
        <f t="shared" si="2"/>
        <v>521140</v>
      </c>
      <c r="W13" t="str">
        <f t="shared" si="3"/>
        <v>CUADRADO (3-WAY OK)</v>
      </c>
      <c r="X13">
        <f>SUMIFS(Detalle_OT!$I$2:$I$592,Detalle_OT!$B$2:$B$592,A13)</f>
        <v>1042280</v>
      </c>
      <c r="Y13">
        <f>SUMIFS(Detalle_OT!$H$2:$H$592,Detalle_OT!$B$2:$B$592,A13,Detalle_OT!$C$2:$C$592,"Repuesto")</f>
        <v>626020</v>
      </c>
      <c r="Z13">
        <f>SUMIFS(Detalle_OT!$H$2:$H$592,Detalle_OT!$B$2:$B$592,A13,Detalle_OT!$C$2:$C$592,"Mano de Obra")</f>
        <v>86800</v>
      </c>
      <c r="AA13">
        <f t="shared" si="4"/>
        <v>329460</v>
      </c>
      <c r="AB13">
        <f t="shared" si="5"/>
        <v>0.31609548297962159</v>
      </c>
      <c r="AC13" t="str">
        <f t="shared" si="6"/>
        <v>Margen No Negativo Confirmado</v>
      </c>
      <c r="AD13" t="str">
        <f t="shared" si="7"/>
        <v>2026-05</v>
      </c>
      <c r="AE13" t="str">
        <f t="shared" si="8"/>
        <v>Semana 20</v>
      </c>
      <c r="AF13">
        <f t="shared" si="9"/>
        <v>1</v>
      </c>
      <c r="AG13">
        <f t="shared" si="10"/>
        <v>1</v>
      </c>
      <c r="AH13">
        <f>IF(AND(G13="",OR(I13="En Curso",I13="Reprogramada"),F13&lt;Dashboard!$B$5),1,0)</f>
        <v>0</v>
      </c>
      <c r="AI13">
        <f t="shared" si="11"/>
        <v>0</v>
      </c>
      <c r="AJ13">
        <f t="shared" si="12"/>
        <v>0</v>
      </c>
      <c r="AK13">
        <f>IF(SUMIFS(Detalle_OT!$J$2:$J$592,Detalle_OT!$B$2:$B$592,A13)&gt;0,1,0)</f>
        <v>0</v>
      </c>
      <c r="AL13">
        <f>IF(AND(OR(Dashboard!$D$5="Todos",AD13=Dashboard!$D$5),OR(Dashboard!$F$5="Todos",D13=Dashboard!$F$5),OR(Dashboard!$H$5="Todos",I13=Dashboard!$H$5)),1,0)</f>
        <v>1</v>
      </c>
      <c r="AM13">
        <f>IF(AND(OR(Control_Mandante!$C$4="Todos", AD13=Control_Mandante!$C$4), OR(Control_Mandante!$F$4="Todos", B13=Control_Mandante!$F$4), OR(Control_Mandante!$I$4="Todos", W13=Control_Mandante!$I$4), OR(Control_Mandante!$L$4="Todos", H13=Control_Mandante!$L$4)), 1, 0)</f>
        <v>1</v>
      </c>
      <c r="AN13" t="str">
        <f>IF(AH13=1, COUNTIF(AH$2:AH13, 1), "")</f>
        <v/>
      </c>
      <c r="AO13" t="str">
        <f>IF(AJ13=1, COUNTIF(AJ$2:AJ13, 1), "")</f>
        <v/>
      </c>
      <c r="AP13" t="str">
        <f>IF(AK13=1, COUNTIF(AK$2:AK13, 1), "")</f>
        <v/>
      </c>
    </row>
    <row r="14" spans="1:42" x14ac:dyDescent="0.25">
      <c r="A14" t="s">
        <v>340</v>
      </c>
      <c r="B14" t="s">
        <v>206</v>
      </c>
      <c r="C14" t="s">
        <v>341</v>
      </c>
      <c r="D14" t="s">
        <v>276</v>
      </c>
      <c r="E14" s="43">
        <v>46159</v>
      </c>
      <c r="F14" s="43">
        <v>46163</v>
      </c>
      <c r="G14" s="43">
        <v>46162</v>
      </c>
      <c r="H14" t="s">
        <v>220</v>
      </c>
      <c r="I14" t="s">
        <v>277</v>
      </c>
      <c r="J14" t="s">
        <v>342</v>
      </c>
      <c r="K14" s="43">
        <v>46159</v>
      </c>
      <c r="L14">
        <f t="shared" si="0"/>
        <v>263270</v>
      </c>
      <c r="M14" t="s">
        <v>279</v>
      </c>
      <c r="N14" t="s">
        <v>343</v>
      </c>
      <c r="O14" s="43">
        <v>46160</v>
      </c>
      <c r="P14">
        <f t="shared" si="1"/>
        <v>263270</v>
      </c>
      <c r="Q14" t="s">
        <v>281</v>
      </c>
      <c r="R14" t="s">
        <v>344</v>
      </c>
      <c r="S14" s="43">
        <v>46164</v>
      </c>
      <c r="T14">
        <f t="shared" si="13"/>
        <v>263270</v>
      </c>
      <c r="U14">
        <f>T14</f>
        <v>263270</v>
      </c>
      <c r="V14">
        <f t="shared" si="2"/>
        <v>0</v>
      </c>
      <c r="W14" t="str">
        <f t="shared" si="3"/>
        <v>CUADRADO (3-WAY OK)</v>
      </c>
      <c r="X14">
        <f>SUMIFS(Detalle_OT!$I$2:$I$592,Detalle_OT!$B$2:$B$592,A14)</f>
        <v>263270</v>
      </c>
      <c r="Y14">
        <f>SUMIFS(Detalle_OT!$H$2:$H$592,Detalle_OT!$B$2:$B$592,A14,Detalle_OT!$C$2:$C$592,"Repuesto")</f>
        <v>69980</v>
      </c>
      <c r="Z14">
        <f>SUMIFS(Detalle_OT!$H$2:$H$592,Detalle_OT!$B$2:$B$592,A14,Detalle_OT!$C$2:$C$592,"Mano de Obra")</f>
        <v>84700</v>
      </c>
      <c r="AA14">
        <f t="shared" si="4"/>
        <v>108590</v>
      </c>
      <c r="AB14">
        <f t="shared" si="5"/>
        <v>0.41246628936073232</v>
      </c>
      <c r="AC14" t="str">
        <f t="shared" si="6"/>
        <v>Margen No Negativo Confirmado</v>
      </c>
      <c r="AD14" t="str">
        <f t="shared" si="7"/>
        <v>2026-05</v>
      </c>
      <c r="AE14" t="str">
        <f t="shared" si="8"/>
        <v>Semana 21</v>
      </c>
      <c r="AF14">
        <f t="shared" si="9"/>
        <v>3</v>
      </c>
      <c r="AG14">
        <f t="shared" si="10"/>
        <v>1</v>
      </c>
      <c r="AH14">
        <f>IF(AND(G14="",OR(I14="En Curso",I14="Reprogramada"),F14&lt;Dashboard!$B$5),1,0)</f>
        <v>0</v>
      </c>
      <c r="AI14">
        <f t="shared" si="11"/>
        <v>0</v>
      </c>
      <c r="AJ14">
        <f t="shared" si="12"/>
        <v>0</v>
      </c>
      <c r="AK14">
        <f>IF(SUMIFS(Detalle_OT!$J$2:$J$592,Detalle_OT!$B$2:$B$592,A14)&gt;0,1,0)</f>
        <v>0</v>
      </c>
      <c r="AL14">
        <f>IF(AND(OR(Dashboard!$D$5="Todos",AD14=Dashboard!$D$5),OR(Dashboard!$F$5="Todos",D14=Dashboard!$F$5),OR(Dashboard!$H$5="Todos",I14=Dashboard!$H$5)),1,0)</f>
        <v>1</v>
      </c>
      <c r="AM14">
        <f>IF(AND(OR(Control_Mandante!$C$4="Todos", AD14=Control_Mandante!$C$4), OR(Control_Mandante!$F$4="Todos", B14=Control_Mandante!$F$4), OR(Control_Mandante!$I$4="Todos", W14=Control_Mandante!$I$4), OR(Control_Mandante!$L$4="Todos", H14=Control_Mandante!$L$4)), 1, 0)</f>
        <v>1</v>
      </c>
      <c r="AN14" t="str">
        <f>IF(AH14=1, COUNTIF(AH$2:AH14, 1), "")</f>
        <v/>
      </c>
      <c r="AO14" t="str">
        <f>IF(AJ14=1, COUNTIF(AJ$2:AJ14, 1), "")</f>
        <v/>
      </c>
      <c r="AP14" t="str">
        <f>IF(AK14=1, COUNTIF(AK$2:AK14, 1), "")</f>
        <v/>
      </c>
    </row>
    <row r="15" spans="1:42" x14ac:dyDescent="0.25">
      <c r="A15" t="s">
        <v>345</v>
      </c>
      <c r="B15" t="s">
        <v>155</v>
      </c>
      <c r="C15" t="s">
        <v>346</v>
      </c>
      <c r="D15" t="s">
        <v>301</v>
      </c>
      <c r="E15" s="43">
        <v>46161</v>
      </c>
      <c r="F15" s="43">
        <v>46166</v>
      </c>
      <c r="G15" s="43">
        <v>46166</v>
      </c>
      <c r="H15" t="s">
        <v>218</v>
      </c>
      <c r="I15" t="s">
        <v>290</v>
      </c>
      <c r="J15" t="s">
        <v>347</v>
      </c>
      <c r="K15" s="43">
        <v>46161</v>
      </c>
      <c r="L15">
        <f t="shared" si="0"/>
        <v>676610</v>
      </c>
      <c r="M15" t="s">
        <v>279</v>
      </c>
      <c r="N15" t="s">
        <v>348</v>
      </c>
      <c r="O15" s="43">
        <v>46162</v>
      </c>
      <c r="P15">
        <f t="shared" si="1"/>
        <v>676610</v>
      </c>
      <c r="Q15" t="s">
        <v>281</v>
      </c>
      <c r="R15" t="s">
        <v>349</v>
      </c>
      <c r="S15" s="43">
        <v>46167</v>
      </c>
      <c r="T15">
        <f t="shared" si="13"/>
        <v>676610</v>
      </c>
      <c r="U15">
        <v>0</v>
      </c>
      <c r="V15">
        <f t="shared" si="2"/>
        <v>676610</v>
      </c>
      <c r="W15" t="str">
        <f t="shared" si="3"/>
        <v>CUADRADO (3-WAY OK)</v>
      </c>
      <c r="X15">
        <f>SUMIFS(Detalle_OT!$I$2:$I$592,Detalle_OT!$B$2:$B$592,A15)</f>
        <v>676610</v>
      </c>
      <c r="Y15">
        <f>SUMIFS(Detalle_OT!$H$2:$H$592,Detalle_OT!$B$2:$B$592,A15,Detalle_OT!$C$2:$C$592,"Repuesto")</f>
        <v>173310</v>
      </c>
      <c r="Z15">
        <f>SUMIFS(Detalle_OT!$H$2:$H$592,Detalle_OT!$B$2:$B$592,A15,Detalle_OT!$C$2:$C$592,"Mano de Obra")</f>
        <v>254000</v>
      </c>
      <c r="AA15">
        <f t="shared" si="4"/>
        <v>249300</v>
      </c>
      <c r="AB15">
        <f t="shared" si="5"/>
        <v>0.36845450111585698</v>
      </c>
      <c r="AC15" t="str">
        <f t="shared" si="6"/>
        <v>Margen No Negativo Confirmado</v>
      </c>
      <c r="AD15" t="str">
        <f t="shared" si="7"/>
        <v>2026-05</v>
      </c>
      <c r="AE15" t="str">
        <f t="shared" si="8"/>
        <v>Semana 21</v>
      </c>
      <c r="AF15">
        <f t="shared" si="9"/>
        <v>5</v>
      </c>
      <c r="AG15">
        <f t="shared" si="10"/>
        <v>1</v>
      </c>
      <c r="AH15">
        <f>IF(AND(G15="",OR(I15="En Curso",I15="Reprogramada"),F15&lt;Dashboard!$B$5),1,0)</f>
        <v>0</v>
      </c>
      <c r="AI15">
        <f t="shared" si="11"/>
        <v>0</v>
      </c>
      <c r="AJ15">
        <f t="shared" si="12"/>
        <v>0</v>
      </c>
      <c r="AK15">
        <f>IF(SUMIFS(Detalle_OT!$J$2:$J$592,Detalle_OT!$B$2:$B$592,A15)&gt;0,1,0)</f>
        <v>0</v>
      </c>
      <c r="AL15">
        <f>IF(AND(OR(Dashboard!$D$5="Todos",AD15=Dashboard!$D$5),OR(Dashboard!$F$5="Todos",D15=Dashboard!$F$5),OR(Dashboard!$H$5="Todos",I15=Dashboard!$H$5)),1,0)</f>
        <v>1</v>
      </c>
      <c r="AM15">
        <f>IF(AND(OR(Control_Mandante!$C$4="Todos", AD15=Control_Mandante!$C$4), OR(Control_Mandante!$F$4="Todos", B15=Control_Mandante!$F$4), OR(Control_Mandante!$I$4="Todos", W15=Control_Mandante!$I$4), OR(Control_Mandante!$L$4="Todos", H15=Control_Mandante!$L$4)), 1, 0)</f>
        <v>1</v>
      </c>
      <c r="AN15" t="str">
        <f>IF(AH15=1, COUNTIF(AH$2:AH15, 1), "")</f>
        <v/>
      </c>
      <c r="AO15" t="str">
        <f>IF(AJ15=1, COUNTIF(AJ$2:AJ15, 1), "")</f>
        <v/>
      </c>
      <c r="AP15" t="str">
        <f>IF(AK15=1, COUNTIF(AK$2:AK15, 1), "")</f>
        <v/>
      </c>
    </row>
    <row r="16" spans="1:42" x14ac:dyDescent="0.25">
      <c r="A16" t="s">
        <v>350</v>
      </c>
      <c r="B16" t="s">
        <v>174</v>
      </c>
      <c r="C16" t="s">
        <v>351</v>
      </c>
      <c r="D16" t="s">
        <v>276</v>
      </c>
      <c r="E16" s="43">
        <v>46161</v>
      </c>
      <c r="F16" s="43">
        <v>46163</v>
      </c>
      <c r="H16" t="s">
        <v>215</v>
      </c>
      <c r="I16" t="s">
        <v>352</v>
      </c>
      <c r="J16" t="s">
        <v>353</v>
      </c>
      <c r="K16" s="43">
        <v>46161</v>
      </c>
      <c r="L16">
        <f t="shared" si="0"/>
        <v>257260</v>
      </c>
      <c r="M16" t="s">
        <v>279</v>
      </c>
      <c r="N16" t="s">
        <v>354</v>
      </c>
      <c r="O16" s="43">
        <v>46162</v>
      </c>
      <c r="P16">
        <f>X16 - 15000</f>
        <v>242260</v>
      </c>
      <c r="Q16" t="s">
        <v>281</v>
      </c>
      <c r="T16">
        <v>0</v>
      </c>
      <c r="U16">
        <v>0</v>
      </c>
      <c r="V16">
        <f t="shared" si="2"/>
        <v>0</v>
      </c>
      <c r="W16" t="str">
        <f t="shared" si="3"/>
        <v>OC Recibida - Pendiente Factura</v>
      </c>
      <c r="X16">
        <f>SUMIFS(Detalle_OT!$I$2:$I$592,Detalle_OT!$B$2:$B$592,A16)</f>
        <v>257260</v>
      </c>
      <c r="Y16">
        <f>SUMIFS(Detalle_OT!$H$2:$H$592,Detalle_OT!$B$2:$B$592,A16,Detalle_OT!$C$2:$C$592,"Repuesto")</f>
        <v>66480</v>
      </c>
      <c r="Z16">
        <f>SUMIFS(Detalle_OT!$H$2:$H$592,Detalle_OT!$B$2:$B$592,A16,Detalle_OT!$C$2:$C$592,"Mano de Obra")</f>
        <v>101400</v>
      </c>
      <c r="AA16">
        <f t="shared" si="4"/>
        <v>89380</v>
      </c>
      <c r="AB16">
        <f t="shared" si="5"/>
        <v>0.34743061494208194</v>
      </c>
      <c r="AC16" t="str">
        <f t="shared" si="6"/>
        <v>Margen No Negativo Confirmado</v>
      </c>
      <c r="AD16" t="str">
        <f t="shared" si="7"/>
        <v>2026-05</v>
      </c>
      <c r="AE16" t="str">
        <f t="shared" si="8"/>
        <v>Semana 21</v>
      </c>
      <c r="AF16" t="str">
        <f t="shared" si="9"/>
        <v/>
      </c>
      <c r="AG16" t="str">
        <f t="shared" si="10"/>
        <v/>
      </c>
      <c r="AH16">
        <f>IF(AND(G16="",OR(I16="En Curso",I16="Reprogramada"),F16&lt;Dashboard!$B$5),1,0)</f>
        <v>1</v>
      </c>
      <c r="AI16">
        <f t="shared" si="11"/>
        <v>0</v>
      </c>
      <c r="AJ16">
        <f t="shared" si="12"/>
        <v>0</v>
      </c>
      <c r="AK16">
        <f>IF(SUMIFS(Detalle_OT!$J$2:$J$592,Detalle_OT!$B$2:$B$592,A16)&gt;0,1,0)</f>
        <v>0</v>
      </c>
      <c r="AL16">
        <f>IF(AND(OR(Dashboard!$D$5="Todos",AD16=Dashboard!$D$5),OR(Dashboard!$F$5="Todos",D16=Dashboard!$F$5),OR(Dashboard!$H$5="Todos",I16=Dashboard!$H$5)),1,0)</f>
        <v>1</v>
      </c>
      <c r="AM16">
        <f>IF(AND(OR(Control_Mandante!$C$4="Todos", AD16=Control_Mandante!$C$4), OR(Control_Mandante!$F$4="Todos", B16=Control_Mandante!$F$4), OR(Control_Mandante!$I$4="Todos", W16=Control_Mandante!$I$4), OR(Control_Mandante!$L$4="Todos", H16=Control_Mandante!$L$4)), 1, 0)</f>
        <v>1</v>
      </c>
      <c r="AN16">
        <f>IF(AH16=1, COUNTIF(AH$2:AH16, 1), "")</f>
        <v>1</v>
      </c>
      <c r="AO16" t="str">
        <f>IF(AJ16=1, COUNTIF(AJ$2:AJ16, 1), "")</f>
        <v/>
      </c>
      <c r="AP16" t="str">
        <f>IF(AK16=1, COUNTIF(AK$2:AK16, 1), "")</f>
        <v/>
      </c>
    </row>
    <row r="17" spans="1:42" x14ac:dyDescent="0.25">
      <c r="A17" t="s">
        <v>355</v>
      </c>
      <c r="B17" t="s">
        <v>180</v>
      </c>
      <c r="C17" t="s">
        <v>356</v>
      </c>
      <c r="D17" t="s">
        <v>295</v>
      </c>
      <c r="E17" s="43">
        <v>46163</v>
      </c>
      <c r="F17" s="43">
        <v>46174</v>
      </c>
      <c r="G17" s="43">
        <v>46175</v>
      </c>
      <c r="H17" t="s">
        <v>222</v>
      </c>
      <c r="I17" t="s">
        <v>277</v>
      </c>
      <c r="J17" t="s">
        <v>357</v>
      </c>
      <c r="K17" s="43">
        <v>46163</v>
      </c>
      <c r="L17">
        <f t="shared" si="0"/>
        <v>726080</v>
      </c>
      <c r="M17" t="s">
        <v>279</v>
      </c>
      <c r="N17" t="s">
        <v>358</v>
      </c>
      <c r="O17" s="43">
        <v>46164</v>
      </c>
      <c r="P17">
        <f t="shared" ref="P17:P36" si="14">X17</f>
        <v>726080</v>
      </c>
      <c r="Q17" t="s">
        <v>281</v>
      </c>
      <c r="R17" t="s">
        <v>359</v>
      </c>
      <c r="S17" s="43">
        <v>46177</v>
      </c>
      <c r="T17">
        <f t="shared" ref="T17:T36" si="15">X17</f>
        <v>726080</v>
      </c>
      <c r="U17">
        <f>T17</f>
        <v>726080</v>
      </c>
      <c r="V17">
        <f t="shared" si="2"/>
        <v>0</v>
      </c>
      <c r="W17" t="str">
        <f t="shared" si="3"/>
        <v>CUADRADO (3-WAY OK)</v>
      </c>
      <c r="X17">
        <f>SUMIFS(Detalle_OT!$I$2:$I$592,Detalle_OT!$B$2:$B$592,A17)</f>
        <v>726080</v>
      </c>
      <c r="Y17">
        <f>SUMIFS(Detalle_OT!$H$2:$H$592,Detalle_OT!$B$2:$B$592,A17,Detalle_OT!$C$2:$C$592,"Repuesto")</f>
        <v>67110</v>
      </c>
      <c r="Z17">
        <f>SUMIFS(Detalle_OT!$H$2:$H$592,Detalle_OT!$B$2:$B$592,A17,Detalle_OT!$C$2:$C$592,"Mano de Obra")</f>
        <v>297600</v>
      </c>
      <c r="AA17">
        <f t="shared" si="4"/>
        <v>361370</v>
      </c>
      <c r="AB17">
        <f t="shared" si="5"/>
        <v>0.49769997796386073</v>
      </c>
      <c r="AC17" t="str">
        <f t="shared" si="6"/>
        <v>Margen No Negativo Confirmado</v>
      </c>
      <c r="AD17" t="str">
        <f t="shared" si="7"/>
        <v>2026-05</v>
      </c>
      <c r="AE17" t="str">
        <f t="shared" si="8"/>
        <v>Semana 21</v>
      </c>
      <c r="AF17">
        <f t="shared" si="9"/>
        <v>12</v>
      </c>
      <c r="AG17">
        <f t="shared" si="10"/>
        <v>0</v>
      </c>
      <c r="AH17">
        <f>IF(AND(G17="",OR(I17="En Curso",I17="Reprogramada"),F17&lt;Dashboard!$B$5),1,0)</f>
        <v>0</v>
      </c>
      <c r="AI17">
        <f t="shared" si="11"/>
        <v>0</v>
      </c>
      <c r="AJ17">
        <f t="shared" si="12"/>
        <v>0</v>
      </c>
      <c r="AK17">
        <f>IF(SUMIFS(Detalle_OT!$J$2:$J$592,Detalle_OT!$B$2:$B$592,A17)&gt;0,1,0)</f>
        <v>0</v>
      </c>
      <c r="AL17">
        <f>IF(AND(OR(Dashboard!$D$5="Todos",AD17=Dashboard!$D$5),OR(Dashboard!$F$5="Todos",D17=Dashboard!$F$5),OR(Dashboard!$H$5="Todos",I17=Dashboard!$H$5)),1,0)</f>
        <v>1</v>
      </c>
      <c r="AM17">
        <f>IF(AND(OR(Control_Mandante!$C$4="Todos", AD17=Control_Mandante!$C$4), OR(Control_Mandante!$F$4="Todos", B17=Control_Mandante!$F$4), OR(Control_Mandante!$I$4="Todos", W17=Control_Mandante!$I$4), OR(Control_Mandante!$L$4="Todos", H17=Control_Mandante!$L$4)), 1, 0)</f>
        <v>1</v>
      </c>
      <c r="AN17" t="str">
        <f>IF(AH17=1, COUNTIF(AH$2:AH17, 1), "")</f>
        <v/>
      </c>
      <c r="AO17" t="str">
        <f>IF(AJ17=1, COUNTIF(AJ$2:AJ17, 1), "")</f>
        <v/>
      </c>
      <c r="AP17" t="str">
        <f>IF(AK17=1, COUNTIF(AK$2:AK17, 1), "")</f>
        <v/>
      </c>
    </row>
    <row r="18" spans="1:42" x14ac:dyDescent="0.25">
      <c r="A18" t="s">
        <v>360</v>
      </c>
      <c r="B18" t="s">
        <v>187</v>
      </c>
      <c r="C18" t="s">
        <v>361</v>
      </c>
      <c r="D18" t="s">
        <v>301</v>
      </c>
      <c r="E18" s="43">
        <v>46163</v>
      </c>
      <c r="F18" s="43">
        <v>46167</v>
      </c>
      <c r="G18" s="43">
        <v>46166</v>
      </c>
      <c r="H18" t="s">
        <v>232</v>
      </c>
      <c r="I18" t="s">
        <v>277</v>
      </c>
      <c r="J18" t="s">
        <v>362</v>
      </c>
      <c r="K18" s="43">
        <v>46163</v>
      </c>
      <c r="L18">
        <f t="shared" si="0"/>
        <v>487030</v>
      </c>
      <c r="M18" t="s">
        <v>279</v>
      </c>
      <c r="N18" t="s">
        <v>363</v>
      </c>
      <c r="O18" s="43">
        <v>46164</v>
      </c>
      <c r="P18">
        <f t="shared" si="14"/>
        <v>487030</v>
      </c>
      <c r="Q18" t="s">
        <v>281</v>
      </c>
      <c r="R18" t="s">
        <v>364</v>
      </c>
      <c r="S18" s="43">
        <v>46168</v>
      </c>
      <c r="T18">
        <f t="shared" si="15"/>
        <v>487030</v>
      </c>
      <c r="U18">
        <f>T18</f>
        <v>487030</v>
      </c>
      <c r="V18">
        <f t="shared" si="2"/>
        <v>0</v>
      </c>
      <c r="W18" t="str">
        <f t="shared" si="3"/>
        <v>CUADRADO (3-WAY OK)</v>
      </c>
      <c r="X18">
        <f>SUMIFS(Detalle_OT!$I$2:$I$592,Detalle_OT!$B$2:$B$592,A18)</f>
        <v>487030</v>
      </c>
      <c r="Y18">
        <f>SUMIFS(Detalle_OT!$H$2:$H$592,Detalle_OT!$B$2:$B$592,A18,Detalle_OT!$C$2:$C$592,"Repuesto")</f>
        <v>159280</v>
      </c>
      <c r="Z18">
        <f>SUMIFS(Detalle_OT!$H$2:$H$592,Detalle_OT!$B$2:$B$592,A18,Detalle_OT!$C$2:$C$592,"Mano de Obra")</f>
        <v>131000</v>
      </c>
      <c r="AA18">
        <f t="shared" si="4"/>
        <v>196750</v>
      </c>
      <c r="AB18">
        <f t="shared" si="5"/>
        <v>0.40397922099254668</v>
      </c>
      <c r="AC18" t="str">
        <f t="shared" si="6"/>
        <v>Margen No Negativo Confirmado</v>
      </c>
      <c r="AD18" t="str">
        <f t="shared" si="7"/>
        <v>2026-05</v>
      </c>
      <c r="AE18" t="str">
        <f t="shared" si="8"/>
        <v>Semana 21</v>
      </c>
      <c r="AF18">
        <f t="shared" si="9"/>
        <v>3</v>
      </c>
      <c r="AG18">
        <f t="shared" si="10"/>
        <v>1</v>
      </c>
      <c r="AH18">
        <f>IF(AND(G18="",OR(I18="En Curso",I18="Reprogramada"),F18&lt;Dashboard!$B$5),1,0)</f>
        <v>0</v>
      </c>
      <c r="AI18">
        <f t="shared" si="11"/>
        <v>0</v>
      </c>
      <c r="AJ18">
        <f t="shared" si="12"/>
        <v>0</v>
      </c>
      <c r="AK18">
        <f>IF(SUMIFS(Detalle_OT!$J$2:$J$592,Detalle_OT!$B$2:$B$592,A18)&gt;0,1,0)</f>
        <v>0</v>
      </c>
      <c r="AL18">
        <f>IF(AND(OR(Dashboard!$D$5="Todos",AD18=Dashboard!$D$5),OR(Dashboard!$F$5="Todos",D18=Dashboard!$F$5),OR(Dashboard!$H$5="Todos",I18=Dashboard!$H$5)),1,0)</f>
        <v>1</v>
      </c>
      <c r="AM18">
        <f>IF(AND(OR(Control_Mandante!$C$4="Todos", AD18=Control_Mandante!$C$4), OR(Control_Mandante!$F$4="Todos", B18=Control_Mandante!$F$4), OR(Control_Mandante!$I$4="Todos", W18=Control_Mandante!$I$4), OR(Control_Mandante!$L$4="Todos", H18=Control_Mandante!$L$4)), 1, 0)</f>
        <v>1</v>
      </c>
      <c r="AN18" t="str">
        <f>IF(AH18=1, COUNTIF(AH$2:AH18, 1), "")</f>
        <v/>
      </c>
      <c r="AO18" t="str">
        <f>IF(AJ18=1, COUNTIF(AJ$2:AJ18, 1), "")</f>
        <v/>
      </c>
      <c r="AP18" t="str">
        <f>IF(AK18=1, COUNTIF(AK$2:AK18, 1), "")</f>
        <v/>
      </c>
    </row>
    <row r="19" spans="1:42" x14ac:dyDescent="0.25">
      <c r="A19" t="s">
        <v>365</v>
      </c>
      <c r="B19" t="s">
        <v>206</v>
      </c>
      <c r="C19" t="s">
        <v>366</v>
      </c>
      <c r="D19" t="s">
        <v>276</v>
      </c>
      <c r="E19" s="43">
        <v>46164</v>
      </c>
      <c r="F19" s="43">
        <v>46166</v>
      </c>
      <c r="G19" s="43">
        <v>46166</v>
      </c>
      <c r="H19" t="s">
        <v>220</v>
      </c>
      <c r="I19" t="s">
        <v>277</v>
      </c>
      <c r="J19" t="s">
        <v>367</v>
      </c>
      <c r="K19" s="43">
        <v>46164</v>
      </c>
      <c r="L19">
        <f t="shared" si="0"/>
        <v>271920</v>
      </c>
      <c r="M19" t="s">
        <v>279</v>
      </c>
      <c r="N19" t="s">
        <v>368</v>
      </c>
      <c r="O19" s="43">
        <v>46165</v>
      </c>
      <c r="P19">
        <f t="shared" si="14"/>
        <v>271920</v>
      </c>
      <c r="Q19" t="s">
        <v>281</v>
      </c>
      <c r="R19" t="s">
        <v>369</v>
      </c>
      <c r="S19" s="43">
        <v>46168</v>
      </c>
      <c r="T19">
        <f t="shared" si="15"/>
        <v>271920</v>
      </c>
      <c r="U19">
        <f>T19*0.5</f>
        <v>135960</v>
      </c>
      <c r="V19">
        <f t="shared" si="2"/>
        <v>135960</v>
      </c>
      <c r="W19" t="str">
        <f t="shared" si="3"/>
        <v>CUADRADO (3-WAY OK)</v>
      </c>
      <c r="X19">
        <f>SUMIFS(Detalle_OT!$I$2:$I$592,Detalle_OT!$B$2:$B$592,A19)</f>
        <v>271920</v>
      </c>
      <c r="Y19">
        <f>SUMIFS(Detalle_OT!$H$2:$H$592,Detalle_OT!$B$2:$B$592,A19,Detalle_OT!$C$2:$C$592,"Repuesto")</f>
        <v>42240</v>
      </c>
      <c r="Z19">
        <f>SUMIFS(Detalle_OT!$H$2:$H$592,Detalle_OT!$B$2:$B$592,A19,Detalle_OT!$C$2:$C$592,"Mano de Obra")</f>
        <v>171000</v>
      </c>
      <c r="AA19">
        <f t="shared" si="4"/>
        <v>58680</v>
      </c>
      <c r="AB19">
        <f t="shared" si="5"/>
        <v>0.21579876434245365</v>
      </c>
      <c r="AC19" t="str">
        <f t="shared" si="6"/>
        <v>Margen No Negativo Confirmado</v>
      </c>
      <c r="AD19" t="str">
        <f t="shared" si="7"/>
        <v>2026-05</v>
      </c>
      <c r="AE19" t="str">
        <f t="shared" si="8"/>
        <v>Semana 21</v>
      </c>
      <c r="AF19">
        <f t="shared" si="9"/>
        <v>2</v>
      </c>
      <c r="AG19">
        <f t="shared" si="10"/>
        <v>1</v>
      </c>
      <c r="AH19">
        <f>IF(AND(G19="",OR(I19="En Curso",I19="Reprogramada"),F19&lt;Dashboard!$B$5),1,0)</f>
        <v>0</v>
      </c>
      <c r="AI19">
        <f t="shared" si="11"/>
        <v>0</v>
      </c>
      <c r="AJ19">
        <f t="shared" si="12"/>
        <v>0</v>
      </c>
      <c r="AK19">
        <f>IF(SUMIFS(Detalle_OT!$J$2:$J$592,Detalle_OT!$B$2:$B$592,A19)&gt;0,1,0)</f>
        <v>0</v>
      </c>
      <c r="AL19">
        <f>IF(AND(OR(Dashboard!$D$5="Todos",AD19=Dashboard!$D$5),OR(Dashboard!$F$5="Todos",D19=Dashboard!$F$5),OR(Dashboard!$H$5="Todos",I19=Dashboard!$H$5)),1,0)</f>
        <v>1</v>
      </c>
      <c r="AM19">
        <f>IF(AND(OR(Control_Mandante!$C$4="Todos", AD19=Control_Mandante!$C$4), OR(Control_Mandante!$F$4="Todos", B19=Control_Mandante!$F$4), OR(Control_Mandante!$I$4="Todos", W19=Control_Mandante!$I$4), OR(Control_Mandante!$L$4="Todos", H19=Control_Mandante!$L$4)), 1, 0)</f>
        <v>1</v>
      </c>
      <c r="AN19" t="str">
        <f>IF(AH19=1, COUNTIF(AH$2:AH19, 1), "")</f>
        <v/>
      </c>
      <c r="AO19" t="str">
        <f>IF(AJ19=1, COUNTIF(AJ$2:AJ19, 1), "")</f>
        <v/>
      </c>
      <c r="AP19" t="str">
        <f>IF(AK19=1, COUNTIF(AK$2:AK19, 1), "")</f>
        <v/>
      </c>
    </row>
    <row r="20" spans="1:42" x14ac:dyDescent="0.25">
      <c r="A20" t="s">
        <v>370</v>
      </c>
      <c r="B20" t="s">
        <v>174</v>
      </c>
      <c r="C20" t="s">
        <v>371</v>
      </c>
      <c r="D20" t="s">
        <v>276</v>
      </c>
      <c r="E20" s="43">
        <v>46164</v>
      </c>
      <c r="F20" s="43">
        <v>46166</v>
      </c>
      <c r="G20" s="43">
        <v>46166</v>
      </c>
      <c r="H20" t="s">
        <v>215</v>
      </c>
      <c r="I20" t="s">
        <v>277</v>
      </c>
      <c r="J20" t="s">
        <v>372</v>
      </c>
      <c r="K20" s="43">
        <v>46164</v>
      </c>
      <c r="L20">
        <f t="shared" si="0"/>
        <v>158850</v>
      </c>
      <c r="M20" t="s">
        <v>279</v>
      </c>
      <c r="N20" t="s">
        <v>373</v>
      </c>
      <c r="O20" s="43">
        <v>46165</v>
      </c>
      <c r="P20">
        <f t="shared" si="14"/>
        <v>158850</v>
      </c>
      <c r="Q20" t="s">
        <v>281</v>
      </c>
      <c r="R20" t="s">
        <v>374</v>
      </c>
      <c r="S20" s="43">
        <v>46168</v>
      </c>
      <c r="T20">
        <f t="shared" si="15"/>
        <v>158850</v>
      </c>
      <c r="U20">
        <f>T20</f>
        <v>158850</v>
      </c>
      <c r="V20">
        <f t="shared" si="2"/>
        <v>0</v>
      </c>
      <c r="W20" t="str">
        <f t="shared" si="3"/>
        <v>CUADRADO (3-WAY OK)</v>
      </c>
      <c r="X20">
        <f>SUMIFS(Detalle_OT!$I$2:$I$592,Detalle_OT!$B$2:$B$592,A20)</f>
        <v>158850</v>
      </c>
      <c r="Y20">
        <f>SUMIFS(Detalle_OT!$H$2:$H$592,Detalle_OT!$B$2:$B$592,A20,Detalle_OT!$C$2:$C$592,"Repuesto")</f>
        <v>94650</v>
      </c>
      <c r="Z20">
        <f>SUMIFS(Detalle_OT!$H$2:$H$592,Detalle_OT!$B$2:$B$592,A20,Detalle_OT!$C$2:$C$592,"Mano de Obra")</f>
        <v>25400</v>
      </c>
      <c r="AA20">
        <f t="shared" si="4"/>
        <v>38800</v>
      </c>
      <c r="AB20">
        <f t="shared" si="5"/>
        <v>0.24425558703179101</v>
      </c>
      <c r="AC20" t="str">
        <f t="shared" si="6"/>
        <v>Margen No Negativo Confirmado</v>
      </c>
      <c r="AD20" t="str">
        <f t="shared" si="7"/>
        <v>2026-05</v>
      </c>
      <c r="AE20" t="str">
        <f t="shared" si="8"/>
        <v>Semana 21</v>
      </c>
      <c r="AF20">
        <f t="shared" si="9"/>
        <v>2</v>
      </c>
      <c r="AG20">
        <f t="shared" si="10"/>
        <v>1</v>
      </c>
      <c r="AH20">
        <f>IF(AND(G20="",OR(I20="En Curso",I20="Reprogramada"),F20&lt;Dashboard!$B$5),1,0)</f>
        <v>0</v>
      </c>
      <c r="AI20">
        <f t="shared" si="11"/>
        <v>0</v>
      </c>
      <c r="AJ20">
        <f t="shared" si="12"/>
        <v>0</v>
      </c>
      <c r="AK20">
        <f>IF(SUMIFS(Detalle_OT!$J$2:$J$592,Detalle_OT!$B$2:$B$592,A20)&gt;0,1,0)</f>
        <v>0</v>
      </c>
      <c r="AL20">
        <f>IF(AND(OR(Dashboard!$D$5="Todos",AD20=Dashboard!$D$5),OR(Dashboard!$F$5="Todos",D20=Dashboard!$F$5),OR(Dashboard!$H$5="Todos",I20=Dashboard!$H$5)),1,0)</f>
        <v>1</v>
      </c>
      <c r="AM20">
        <f>IF(AND(OR(Control_Mandante!$C$4="Todos", AD20=Control_Mandante!$C$4), OR(Control_Mandante!$F$4="Todos", B20=Control_Mandante!$F$4), OR(Control_Mandante!$I$4="Todos", W20=Control_Mandante!$I$4), OR(Control_Mandante!$L$4="Todos", H20=Control_Mandante!$L$4)), 1, 0)</f>
        <v>1</v>
      </c>
      <c r="AN20" t="str">
        <f>IF(AH20=1, COUNTIF(AH$2:AH20, 1), "")</f>
        <v/>
      </c>
      <c r="AO20" t="str">
        <f>IF(AJ20=1, COUNTIF(AJ$2:AJ20, 1), "")</f>
        <v/>
      </c>
      <c r="AP20" t="str">
        <f>IF(AK20=1, COUNTIF(AK$2:AK20, 1), "")</f>
        <v/>
      </c>
    </row>
    <row r="21" spans="1:42" x14ac:dyDescent="0.25">
      <c r="A21" t="s">
        <v>375</v>
      </c>
      <c r="B21" t="s">
        <v>171</v>
      </c>
      <c r="C21" t="s">
        <v>376</v>
      </c>
      <c r="D21" t="s">
        <v>276</v>
      </c>
      <c r="E21" s="43">
        <v>46165</v>
      </c>
      <c r="F21" s="43">
        <v>46169</v>
      </c>
      <c r="G21" s="43">
        <v>46169</v>
      </c>
      <c r="H21" t="s">
        <v>220</v>
      </c>
      <c r="I21" t="s">
        <v>277</v>
      </c>
      <c r="J21" t="s">
        <v>377</v>
      </c>
      <c r="K21" s="43">
        <v>46165</v>
      </c>
      <c r="L21">
        <f t="shared" si="0"/>
        <v>821930</v>
      </c>
      <c r="M21" t="s">
        <v>279</v>
      </c>
      <c r="N21" t="s">
        <v>378</v>
      </c>
      <c r="O21" s="43">
        <v>46166</v>
      </c>
      <c r="P21">
        <f t="shared" si="14"/>
        <v>821930</v>
      </c>
      <c r="Q21" t="s">
        <v>281</v>
      </c>
      <c r="R21" t="s">
        <v>379</v>
      </c>
      <c r="S21" s="43">
        <v>46171</v>
      </c>
      <c r="T21">
        <f t="shared" si="15"/>
        <v>821930</v>
      </c>
      <c r="U21">
        <f>T21</f>
        <v>821930</v>
      </c>
      <c r="V21">
        <f t="shared" si="2"/>
        <v>0</v>
      </c>
      <c r="W21" t="str">
        <f t="shared" si="3"/>
        <v>CUADRADO (3-WAY OK)</v>
      </c>
      <c r="X21">
        <f>SUMIFS(Detalle_OT!$I$2:$I$592,Detalle_OT!$B$2:$B$592,A21)</f>
        <v>821930</v>
      </c>
      <c r="Y21">
        <f>SUMIFS(Detalle_OT!$H$2:$H$592,Detalle_OT!$B$2:$B$592,A21,Detalle_OT!$C$2:$C$592,"Repuesto")</f>
        <v>403860</v>
      </c>
      <c r="Z21">
        <f>SUMIFS(Detalle_OT!$H$2:$H$592,Detalle_OT!$B$2:$B$592,A21,Detalle_OT!$C$2:$C$592,"Mano de Obra")</f>
        <v>160800</v>
      </c>
      <c r="AA21">
        <f t="shared" si="4"/>
        <v>257270</v>
      </c>
      <c r="AB21">
        <f t="shared" si="5"/>
        <v>0.31300719039334252</v>
      </c>
      <c r="AC21" t="str">
        <f t="shared" si="6"/>
        <v>Margen No Negativo Confirmado</v>
      </c>
      <c r="AD21" t="str">
        <f t="shared" si="7"/>
        <v>2026-05</v>
      </c>
      <c r="AE21" t="str">
        <f t="shared" si="8"/>
        <v>Semana 21</v>
      </c>
      <c r="AF21">
        <f t="shared" si="9"/>
        <v>4</v>
      </c>
      <c r="AG21">
        <f t="shared" si="10"/>
        <v>1</v>
      </c>
      <c r="AH21">
        <f>IF(AND(G21="",OR(I21="En Curso",I21="Reprogramada"),F21&lt;Dashboard!$B$5),1,0)</f>
        <v>0</v>
      </c>
      <c r="AI21">
        <f t="shared" si="11"/>
        <v>0</v>
      </c>
      <c r="AJ21">
        <f t="shared" si="12"/>
        <v>0</v>
      </c>
      <c r="AK21">
        <f>IF(SUMIFS(Detalle_OT!$J$2:$J$592,Detalle_OT!$B$2:$B$592,A21)&gt;0,1,0)</f>
        <v>0</v>
      </c>
      <c r="AL21">
        <f>IF(AND(OR(Dashboard!$D$5="Todos",AD21=Dashboard!$D$5),OR(Dashboard!$F$5="Todos",D21=Dashboard!$F$5),OR(Dashboard!$H$5="Todos",I21=Dashboard!$H$5)),1,0)</f>
        <v>1</v>
      </c>
      <c r="AM21">
        <f>IF(AND(OR(Control_Mandante!$C$4="Todos", AD21=Control_Mandante!$C$4), OR(Control_Mandante!$F$4="Todos", B21=Control_Mandante!$F$4), OR(Control_Mandante!$I$4="Todos", W21=Control_Mandante!$I$4), OR(Control_Mandante!$L$4="Todos", H21=Control_Mandante!$L$4)), 1, 0)</f>
        <v>1</v>
      </c>
      <c r="AN21" t="str">
        <f>IF(AH21=1, COUNTIF(AH$2:AH21, 1), "")</f>
        <v/>
      </c>
      <c r="AO21" t="str">
        <f>IF(AJ21=1, COUNTIF(AJ$2:AJ21, 1), "")</f>
        <v/>
      </c>
      <c r="AP21" t="str">
        <f>IF(AK21=1, COUNTIF(AK$2:AK21, 1), "")</f>
        <v/>
      </c>
    </row>
    <row r="22" spans="1:42" x14ac:dyDescent="0.25">
      <c r="A22" t="s">
        <v>380</v>
      </c>
      <c r="B22" t="s">
        <v>183</v>
      </c>
      <c r="C22" t="s">
        <v>381</v>
      </c>
      <c r="D22" t="s">
        <v>301</v>
      </c>
      <c r="E22" s="43">
        <v>46166</v>
      </c>
      <c r="F22" s="43">
        <v>46169</v>
      </c>
      <c r="G22" s="43">
        <v>46169</v>
      </c>
      <c r="H22" t="s">
        <v>215</v>
      </c>
      <c r="I22" t="s">
        <v>277</v>
      </c>
      <c r="J22" t="s">
        <v>382</v>
      </c>
      <c r="K22" s="43">
        <v>46166</v>
      </c>
      <c r="L22">
        <f t="shared" si="0"/>
        <v>354340</v>
      </c>
      <c r="M22" t="s">
        <v>279</v>
      </c>
      <c r="N22" t="s">
        <v>383</v>
      </c>
      <c r="O22" s="43">
        <v>46167</v>
      </c>
      <c r="P22">
        <f t="shared" si="14"/>
        <v>354340</v>
      </c>
      <c r="Q22" t="s">
        <v>281</v>
      </c>
      <c r="R22" t="s">
        <v>384</v>
      </c>
      <c r="S22" s="43">
        <v>46171</v>
      </c>
      <c r="T22">
        <f t="shared" si="15"/>
        <v>354340</v>
      </c>
      <c r="U22">
        <f>T22*0.5</f>
        <v>177170</v>
      </c>
      <c r="V22">
        <f t="shared" si="2"/>
        <v>177170</v>
      </c>
      <c r="W22" t="str">
        <f t="shared" si="3"/>
        <v>CUADRADO (3-WAY OK)</v>
      </c>
      <c r="X22">
        <f>SUMIFS(Detalle_OT!$I$2:$I$592,Detalle_OT!$B$2:$B$592,A22)</f>
        <v>354340</v>
      </c>
      <c r="Y22">
        <f>SUMIFS(Detalle_OT!$H$2:$H$592,Detalle_OT!$B$2:$B$592,A22,Detalle_OT!$C$2:$C$592,"Repuesto")</f>
        <v>22320</v>
      </c>
      <c r="Z22">
        <f>SUMIFS(Detalle_OT!$H$2:$H$592,Detalle_OT!$B$2:$B$592,A22,Detalle_OT!$C$2:$C$592,"Mano de Obra")</f>
        <v>154000</v>
      </c>
      <c r="AA22">
        <f t="shared" si="4"/>
        <v>178020</v>
      </c>
      <c r="AB22">
        <f t="shared" si="5"/>
        <v>0.50239882598634078</v>
      </c>
      <c r="AC22" t="str">
        <f t="shared" si="6"/>
        <v>Margen No Negativo Confirmado</v>
      </c>
      <c r="AD22" t="str">
        <f t="shared" si="7"/>
        <v>2026-05</v>
      </c>
      <c r="AE22" t="str">
        <f t="shared" si="8"/>
        <v>Semana 22</v>
      </c>
      <c r="AF22">
        <f t="shared" si="9"/>
        <v>3</v>
      </c>
      <c r="AG22">
        <f t="shared" si="10"/>
        <v>1</v>
      </c>
      <c r="AH22">
        <f>IF(AND(G22="",OR(I22="En Curso",I22="Reprogramada"),F22&lt;Dashboard!$B$5),1,0)</f>
        <v>0</v>
      </c>
      <c r="AI22">
        <f t="shared" si="11"/>
        <v>0</v>
      </c>
      <c r="AJ22">
        <f t="shared" si="12"/>
        <v>0</v>
      </c>
      <c r="AK22">
        <f>IF(SUMIFS(Detalle_OT!$J$2:$J$592,Detalle_OT!$B$2:$B$592,A22)&gt;0,1,0)</f>
        <v>0</v>
      </c>
      <c r="AL22">
        <f>IF(AND(OR(Dashboard!$D$5="Todos",AD22=Dashboard!$D$5),OR(Dashboard!$F$5="Todos",D22=Dashboard!$F$5),OR(Dashboard!$H$5="Todos",I22=Dashboard!$H$5)),1,0)</f>
        <v>1</v>
      </c>
      <c r="AM22">
        <f>IF(AND(OR(Control_Mandante!$C$4="Todos", AD22=Control_Mandante!$C$4), OR(Control_Mandante!$F$4="Todos", B22=Control_Mandante!$F$4), OR(Control_Mandante!$I$4="Todos", W22=Control_Mandante!$I$4), OR(Control_Mandante!$L$4="Todos", H22=Control_Mandante!$L$4)), 1, 0)</f>
        <v>1</v>
      </c>
      <c r="AN22" t="str">
        <f>IF(AH22=1, COUNTIF(AH$2:AH22, 1), "")</f>
        <v/>
      </c>
      <c r="AO22" t="str">
        <f>IF(AJ22=1, COUNTIF(AJ$2:AJ22, 1), "")</f>
        <v/>
      </c>
      <c r="AP22" t="str">
        <f>IF(AK22=1, COUNTIF(AK$2:AK22, 1), "")</f>
        <v/>
      </c>
    </row>
    <row r="23" spans="1:42" x14ac:dyDescent="0.25">
      <c r="A23" t="s">
        <v>385</v>
      </c>
      <c r="B23" t="s">
        <v>165</v>
      </c>
      <c r="C23" t="s">
        <v>386</v>
      </c>
      <c r="D23" t="s">
        <v>301</v>
      </c>
      <c r="E23" s="43">
        <v>46167</v>
      </c>
      <c r="F23" s="43">
        <v>46175</v>
      </c>
      <c r="G23" s="43">
        <v>46174</v>
      </c>
      <c r="H23" t="s">
        <v>218</v>
      </c>
      <c r="I23" t="s">
        <v>277</v>
      </c>
      <c r="J23" t="s">
        <v>387</v>
      </c>
      <c r="K23" s="43">
        <v>46167</v>
      </c>
      <c r="L23">
        <f t="shared" si="0"/>
        <v>433120</v>
      </c>
      <c r="M23" t="s">
        <v>279</v>
      </c>
      <c r="N23" t="s">
        <v>388</v>
      </c>
      <c r="O23" s="43">
        <v>46168</v>
      </c>
      <c r="P23">
        <f t="shared" si="14"/>
        <v>433120</v>
      </c>
      <c r="Q23" t="s">
        <v>281</v>
      </c>
      <c r="R23" t="s">
        <v>389</v>
      </c>
      <c r="S23" s="43">
        <v>46176</v>
      </c>
      <c r="T23">
        <f t="shared" si="15"/>
        <v>433120</v>
      </c>
      <c r="U23">
        <f>T23</f>
        <v>433120</v>
      </c>
      <c r="V23">
        <f t="shared" si="2"/>
        <v>0</v>
      </c>
      <c r="W23" t="str">
        <f t="shared" si="3"/>
        <v>CUADRADO (3-WAY OK)</v>
      </c>
      <c r="X23">
        <f>SUMIFS(Detalle_OT!$I$2:$I$592,Detalle_OT!$B$2:$B$592,A23)</f>
        <v>433120</v>
      </c>
      <c r="Y23">
        <f>SUMIFS(Detalle_OT!$H$2:$H$592,Detalle_OT!$B$2:$B$592,A23,Detalle_OT!$C$2:$C$592,"Repuesto")</f>
        <v>99950</v>
      </c>
      <c r="Z23">
        <f>SUMIFS(Detalle_OT!$H$2:$H$592,Detalle_OT!$B$2:$B$592,A23,Detalle_OT!$C$2:$C$592,"Mano de Obra")</f>
        <v>167700</v>
      </c>
      <c r="AA23">
        <f t="shared" si="4"/>
        <v>165470</v>
      </c>
      <c r="AB23">
        <f t="shared" si="5"/>
        <v>0.38204192833394901</v>
      </c>
      <c r="AC23" t="str">
        <f t="shared" si="6"/>
        <v>Margen No Negativo Confirmado</v>
      </c>
      <c r="AD23" t="str">
        <f t="shared" si="7"/>
        <v>2026-05</v>
      </c>
      <c r="AE23" t="str">
        <f t="shared" si="8"/>
        <v>Semana 22</v>
      </c>
      <c r="AF23">
        <f t="shared" si="9"/>
        <v>7</v>
      </c>
      <c r="AG23">
        <f t="shared" si="10"/>
        <v>1</v>
      </c>
      <c r="AH23">
        <f>IF(AND(G23="",OR(I23="En Curso",I23="Reprogramada"),F23&lt;Dashboard!$B$5),1,0)</f>
        <v>0</v>
      </c>
      <c r="AI23">
        <f t="shared" si="11"/>
        <v>0</v>
      </c>
      <c r="AJ23">
        <f t="shared" si="12"/>
        <v>0</v>
      </c>
      <c r="AK23">
        <f>IF(SUMIFS(Detalle_OT!$J$2:$J$592,Detalle_OT!$B$2:$B$592,A23)&gt;0,1,0)</f>
        <v>0</v>
      </c>
      <c r="AL23">
        <f>IF(AND(OR(Dashboard!$D$5="Todos",AD23=Dashboard!$D$5),OR(Dashboard!$F$5="Todos",D23=Dashboard!$F$5),OR(Dashboard!$H$5="Todos",I23=Dashboard!$H$5)),1,0)</f>
        <v>1</v>
      </c>
      <c r="AM23">
        <f>IF(AND(OR(Control_Mandante!$C$4="Todos", AD23=Control_Mandante!$C$4), OR(Control_Mandante!$F$4="Todos", B23=Control_Mandante!$F$4), OR(Control_Mandante!$I$4="Todos", W23=Control_Mandante!$I$4), OR(Control_Mandante!$L$4="Todos", H23=Control_Mandante!$L$4)), 1, 0)</f>
        <v>1</v>
      </c>
      <c r="AN23" t="str">
        <f>IF(AH23=1, COUNTIF(AH$2:AH23, 1), "")</f>
        <v/>
      </c>
      <c r="AO23" t="str">
        <f>IF(AJ23=1, COUNTIF(AJ$2:AJ23, 1), "")</f>
        <v/>
      </c>
      <c r="AP23" t="str">
        <f>IF(AK23=1, COUNTIF(AK$2:AK23, 1), "")</f>
        <v/>
      </c>
    </row>
    <row r="24" spans="1:42" x14ac:dyDescent="0.25">
      <c r="A24" t="s">
        <v>390</v>
      </c>
      <c r="B24" t="s">
        <v>209</v>
      </c>
      <c r="C24" t="s">
        <v>391</v>
      </c>
      <c r="D24" t="s">
        <v>295</v>
      </c>
      <c r="E24" s="43">
        <v>46167</v>
      </c>
      <c r="F24" s="43">
        <v>46176</v>
      </c>
      <c r="G24" s="43">
        <v>46176</v>
      </c>
      <c r="H24" t="s">
        <v>227</v>
      </c>
      <c r="I24" t="s">
        <v>277</v>
      </c>
      <c r="J24" t="s">
        <v>392</v>
      </c>
      <c r="K24" s="43">
        <v>46167</v>
      </c>
      <c r="L24">
        <f t="shared" si="0"/>
        <v>2154700</v>
      </c>
      <c r="M24" t="s">
        <v>279</v>
      </c>
      <c r="N24" t="s">
        <v>393</v>
      </c>
      <c r="O24" s="43">
        <v>46168</v>
      </c>
      <c r="P24">
        <f t="shared" si="14"/>
        <v>2154700</v>
      </c>
      <c r="Q24" t="s">
        <v>281</v>
      </c>
      <c r="R24" t="s">
        <v>394</v>
      </c>
      <c r="S24" s="43">
        <v>46178</v>
      </c>
      <c r="T24">
        <f t="shared" si="15"/>
        <v>2154700</v>
      </c>
      <c r="U24">
        <f>T24</f>
        <v>2154700</v>
      </c>
      <c r="V24">
        <f t="shared" si="2"/>
        <v>0</v>
      </c>
      <c r="W24" t="str">
        <f t="shared" si="3"/>
        <v>CUADRADO (3-WAY OK)</v>
      </c>
      <c r="X24">
        <f>SUMIFS(Detalle_OT!$I$2:$I$592,Detalle_OT!$B$2:$B$592,A24)</f>
        <v>2154700</v>
      </c>
      <c r="Y24">
        <f>SUMIFS(Detalle_OT!$H$2:$H$592,Detalle_OT!$B$2:$B$592,A24,Detalle_OT!$C$2:$C$592,"Repuesto")</f>
        <v>751570</v>
      </c>
      <c r="Z24">
        <f>SUMIFS(Detalle_OT!$H$2:$H$592,Detalle_OT!$B$2:$B$592,A24,Detalle_OT!$C$2:$C$592,"Mano de Obra")</f>
        <v>594700</v>
      </c>
      <c r="AA24">
        <f t="shared" si="4"/>
        <v>808430</v>
      </c>
      <c r="AB24">
        <f t="shared" si="5"/>
        <v>0.375193762472734</v>
      </c>
      <c r="AC24" t="str">
        <f t="shared" si="6"/>
        <v>Margen No Negativo Confirmado</v>
      </c>
      <c r="AD24" t="str">
        <f t="shared" si="7"/>
        <v>2026-05</v>
      </c>
      <c r="AE24" t="str">
        <f t="shared" si="8"/>
        <v>Semana 22</v>
      </c>
      <c r="AF24">
        <f t="shared" si="9"/>
        <v>9</v>
      </c>
      <c r="AG24">
        <f t="shared" si="10"/>
        <v>1</v>
      </c>
      <c r="AH24">
        <f>IF(AND(G24="",OR(I24="En Curso",I24="Reprogramada"),F24&lt;Dashboard!$B$5),1,0)</f>
        <v>0</v>
      </c>
      <c r="AI24">
        <f t="shared" si="11"/>
        <v>0</v>
      </c>
      <c r="AJ24">
        <f t="shared" si="12"/>
        <v>0</v>
      </c>
      <c r="AK24">
        <f>IF(SUMIFS(Detalle_OT!$J$2:$J$592,Detalle_OT!$B$2:$B$592,A24)&gt;0,1,0)</f>
        <v>0</v>
      </c>
      <c r="AL24">
        <f>IF(AND(OR(Dashboard!$D$5="Todos",AD24=Dashboard!$D$5),OR(Dashboard!$F$5="Todos",D24=Dashboard!$F$5),OR(Dashboard!$H$5="Todos",I24=Dashboard!$H$5)),1,0)</f>
        <v>1</v>
      </c>
      <c r="AM24">
        <f>IF(AND(OR(Control_Mandante!$C$4="Todos", AD24=Control_Mandante!$C$4), OR(Control_Mandante!$F$4="Todos", B24=Control_Mandante!$F$4), OR(Control_Mandante!$I$4="Todos", W24=Control_Mandante!$I$4), OR(Control_Mandante!$L$4="Todos", H24=Control_Mandante!$L$4)), 1, 0)</f>
        <v>1</v>
      </c>
      <c r="AN24" t="str">
        <f>IF(AH24=1, COUNTIF(AH$2:AH24, 1), "")</f>
        <v/>
      </c>
      <c r="AO24" t="str">
        <f>IF(AJ24=1, COUNTIF(AJ$2:AJ24, 1), "")</f>
        <v/>
      </c>
      <c r="AP24" t="str">
        <f>IF(AK24=1, COUNTIF(AK$2:AK24, 1), "")</f>
        <v/>
      </c>
    </row>
    <row r="25" spans="1:42" x14ac:dyDescent="0.25">
      <c r="A25" t="s">
        <v>395</v>
      </c>
      <c r="B25" t="s">
        <v>190</v>
      </c>
      <c r="C25" t="s">
        <v>396</v>
      </c>
      <c r="D25" t="s">
        <v>276</v>
      </c>
      <c r="E25" s="43">
        <v>46168</v>
      </c>
      <c r="F25" s="43">
        <v>46170</v>
      </c>
      <c r="G25" s="43">
        <v>46169</v>
      </c>
      <c r="H25" t="s">
        <v>215</v>
      </c>
      <c r="I25" t="s">
        <v>277</v>
      </c>
      <c r="J25" t="s">
        <v>397</v>
      </c>
      <c r="K25" s="43">
        <v>46168</v>
      </c>
      <c r="L25">
        <f t="shared" si="0"/>
        <v>547910</v>
      </c>
      <c r="M25" t="s">
        <v>279</v>
      </c>
      <c r="N25" t="s">
        <v>398</v>
      </c>
      <c r="O25" s="43">
        <v>46169</v>
      </c>
      <c r="P25">
        <f t="shared" si="14"/>
        <v>547910</v>
      </c>
      <c r="Q25" t="s">
        <v>281</v>
      </c>
      <c r="R25" t="s">
        <v>399</v>
      </c>
      <c r="S25" s="43">
        <v>46171</v>
      </c>
      <c r="T25">
        <f t="shared" si="15"/>
        <v>547910</v>
      </c>
      <c r="U25">
        <f>T25*0.5</f>
        <v>273955</v>
      </c>
      <c r="V25">
        <f t="shared" si="2"/>
        <v>273955</v>
      </c>
      <c r="W25" t="str">
        <f t="shared" si="3"/>
        <v>CUADRADO (3-WAY OK)</v>
      </c>
      <c r="X25">
        <f>SUMIFS(Detalle_OT!$I$2:$I$592,Detalle_OT!$B$2:$B$592,A25)</f>
        <v>547910</v>
      </c>
      <c r="Y25">
        <f>SUMIFS(Detalle_OT!$H$2:$H$592,Detalle_OT!$B$2:$B$592,A25,Detalle_OT!$C$2:$C$592,"Repuesto")</f>
        <v>249650</v>
      </c>
      <c r="Z25">
        <f>SUMIFS(Detalle_OT!$H$2:$H$592,Detalle_OT!$B$2:$B$592,A25,Detalle_OT!$C$2:$C$592,"Mano de Obra")</f>
        <v>126400</v>
      </c>
      <c r="AA25">
        <f t="shared" si="4"/>
        <v>171860</v>
      </c>
      <c r="AB25">
        <f t="shared" si="5"/>
        <v>0.31366465295395229</v>
      </c>
      <c r="AC25" t="str">
        <f t="shared" si="6"/>
        <v>Margen No Negativo Confirmado</v>
      </c>
      <c r="AD25" t="str">
        <f t="shared" si="7"/>
        <v>2026-05</v>
      </c>
      <c r="AE25" t="str">
        <f t="shared" si="8"/>
        <v>Semana 22</v>
      </c>
      <c r="AF25">
        <f t="shared" si="9"/>
        <v>1</v>
      </c>
      <c r="AG25">
        <f t="shared" si="10"/>
        <v>1</v>
      </c>
      <c r="AH25">
        <f>IF(AND(G25="",OR(I25="En Curso",I25="Reprogramada"),F25&lt;Dashboard!$B$5),1,0)</f>
        <v>0</v>
      </c>
      <c r="AI25">
        <f t="shared" si="11"/>
        <v>0</v>
      </c>
      <c r="AJ25">
        <f t="shared" si="12"/>
        <v>0</v>
      </c>
      <c r="AK25">
        <f>IF(SUMIFS(Detalle_OT!$J$2:$J$592,Detalle_OT!$B$2:$B$592,A25)&gt;0,1,0)</f>
        <v>0</v>
      </c>
      <c r="AL25">
        <f>IF(AND(OR(Dashboard!$D$5="Todos",AD25=Dashboard!$D$5),OR(Dashboard!$F$5="Todos",D25=Dashboard!$F$5),OR(Dashboard!$H$5="Todos",I25=Dashboard!$H$5)),1,0)</f>
        <v>1</v>
      </c>
      <c r="AM25">
        <f>IF(AND(OR(Control_Mandante!$C$4="Todos", AD25=Control_Mandante!$C$4), OR(Control_Mandante!$F$4="Todos", B25=Control_Mandante!$F$4), OR(Control_Mandante!$I$4="Todos", W25=Control_Mandante!$I$4), OR(Control_Mandante!$L$4="Todos", H25=Control_Mandante!$L$4)), 1, 0)</f>
        <v>1</v>
      </c>
      <c r="AN25" t="str">
        <f>IF(AH25=1, COUNTIF(AH$2:AH25, 1), "")</f>
        <v/>
      </c>
      <c r="AO25" t="str">
        <f>IF(AJ25=1, COUNTIF(AJ$2:AJ25, 1), "")</f>
        <v/>
      </c>
      <c r="AP25" t="str">
        <f>IF(AK25=1, COUNTIF(AK$2:AK25, 1), "")</f>
        <v/>
      </c>
    </row>
    <row r="26" spans="1:42" x14ac:dyDescent="0.25">
      <c r="A26" t="s">
        <v>400</v>
      </c>
      <c r="B26" t="s">
        <v>190</v>
      </c>
      <c r="C26" t="s">
        <v>401</v>
      </c>
      <c r="D26" t="s">
        <v>295</v>
      </c>
      <c r="E26" s="43">
        <v>46169</v>
      </c>
      <c r="F26" s="43">
        <v>46177</v>
      </c>
      <c r="G26" s="43">
        <v>46185</v>
      </c>
      <c r="H26" t="s">
        <v>222</v>
      </c>
      <c r="I26" t="s">
        <v>277</v>
      </c>
      <c r="J26" t="s">
        <v>402</v>
      </c>
      <c r="K26" s="43">
        <v>46169</v>
      </c>
      <c r="L26">
        <f t="shared" si="0"/>
        <v>583720</v>
      </c>
      <c r="M26" t="s">
        <v>279</v>
      </c>
      <c r="N26" t="s">
        <v>403</v>
      </c>
      <c r="O26" s="43">
        <v>46170</v>
      </c>
      <c r="P26">
        <f t="shared" si="14"/>
        <v>583720</v>
      </c>
      <c r="Q26" t="s">
        <v>281</v>
      </c>
      <c r="R26" t="s">
        <v>404</v>
      </c>
      <c r="S26" s="43">
        <v>46187</v>
      </c>
      <c r="T26">
        <f t="shared" si="15"/>
        <v>583720</v>
      </c>
      <c r="U26">
        <f>T26</f>
        <v>583720</v>
      </c>
      <c r="V26">
        <f t="shared" si="2"/>
        <v>0</v>
      </c>
      <c r="W26" t="str">
        <f t="shared" si="3"/>
        <v>CUADRADO (3-WAY OK)</v>
      </c>
      <c r="X26">
        <f>SUMIFS(Detalle_OT!$I$2:$I$592,Detalle_OT!$B$2:$B$592,A26)</f>
        <v>583720</v>
      </c>
      <c r="Y26">
        <f>SUMIFS(Detalle_OT!$H$2:$H$592,Detalle_OT!$B$2:$B$592,A26,Detalle_OT!$C$2:$C$592,"Repuesto")</f>
        <v>105940</v>
      </c>
      <c r="Z26">
        <f>SUMIFS(Detalle_OT!$H$2:$H$592,Detalle_OT!$B$2:$B$592,A26,Detalle_OT!$C$2:$C$592,"Mano de Obra")</f>
        <v>283100</v>
      </c>
      <c r="AA26">
        <f t="shared" si="4"/>
        <v>194680</v>
      </c>
      <c r="AB26">
        <f t="shared" si="5"/>
        <v>0.33351606934831768</v>
      </c>
      <c r="AC26" t="str">
        <f t="shared" si="6"/>
        <v>Margen No Negativo Confirmado</v>
      </c>
      <c r="AD26" t="str">
        <f t="shared" si="7"/>
        <v>2026-05</v>
      </c>
      <c r="AE26" t="str">
        <f t="shared" si="8"/>
        <v>Semana 22</v>
      </c>
      <c r="AF26">
        <f t="shared" si="9"/>
        <v>16</v>
      </c>
      <c r="AG26">
        <f t="shared" si="10"/>
        <v>0</v>
      </c>
      <c r="AH26">
        <f>IF(AND(G26="",OR(I26="En Curso",I26="Reprogramada"),F26&lt;Dashboard!$B$5),1,0)</f>
        <v>0</v>
      </c>
      <c r="AI26">
        <f t="shared" si="11"/>
        <v>0</v>
      </c>
      <c r="AJ26">
        <f t="shared" si="12"/>
        <v>0</v>
      </c>
      <c r="AK26">
        <f>IF(SUMIFS(Detalle_OT!$J$2:$J$592,Detalle_OT!$B$2:$B$592,A26)&gt;0,1,0)</f>
        <v>0</v>
      </c>
      <c r="AL26">
        <f>IF(AND(OR(Dashboard!$D$5="Todos",AD26=Dashboard!$D$5),OR(Dashboard!$F$5="Todos",D26=Dashboard!$F$5),OR(Dashboard!$H$5="Todos",I26=Dashboard!$H$5)),1,0)</f>
        <v>1</v>
      </c>
      <c r="AM26">
        <f>IF(AND(OR(Control_Mandante!$C$4="Todos", AD26=Control_Mandante!$C$4), OR(Control_Mandante!$F$4="Todos", B26=Control_Mandante!$F$4), OR(Control_Mandante!$I$4="Todos", W26=Control_Mandante!$I$4), OR(Control_Mandante!$L$4="Todos", H26=Control_Mandante!$L$4)), 1, 0)</f>
        <v>1</v>
      </c>
      <c r="AN26" t="str">
        <f>IF(AH26=1, COUNTIF(AH$2:AH26, 1), "")</f>
        <v/>
      </c>
      <c r="AO26" t="str">
        <f>IF(AJ26=1, COUNTIF(AJ$2:AJ26, 1), "")</f>
        <v/>
      </c>
      <c r="AP26" t="str">
        <f>IF(AK26=1, COUNTIF(AK$2:AK26, 1), "")</f>
        <v/>
      </c>
    </row>
    <row r="27" spans="1:42" x14ac:dyDescent="0.25">
      <c r="A27" t="s">
        <v>405</v>
      </c>
      <c r="B27" t="s">
        <v>168</v>
      </c>
      <c r="C27" t="s">
        <v>406</v>
      </c>
      <c r="D27" t="s">
        <v>301</v>
      </c>
      <c r="E27" s="43">
        <v>46170</v>
      </c>
      <c r="F27" s="43">
        <v>46173</v>
      </c>
      <c r="G27" s="43">
        <v>46173</v>
      </c>
      <c r="H27" t="s">
        <v>220</v>
      </c>
      <c r="I27" t="s">
        <v>277</v>
      </c>
      <c r="J27" t="s">
        <v>407</v>
      </c>
      <c r="K27" s="43">
        <v>46170</v>
      </c>
      <c r="L27">
        <f t="shared" si="0"/>
        <v>569380</v>
      </c>
      <c r="M27" t="s">
        <v>279</v>
      </c>
      <c r="N27" t="s">
        <v>408</v>
      </c>
      <c r="O27" s="43">
        <v>46171</v>
      </c>
      <c r="P27">
        <f t="shared" si="14"/>
        <v>569380</v>
      </c>
      <c r="Q27" t="s">
        <v>281</v>
      </c>
      <c r="R27" t="s">
        <v>409</v>
      </c>
      <c r="S27" s="43">
        <v>46175</v>
      </c>
      <c r="T27">
        <f t="shared" si="15"/>
        <v>569380</v>
      </c>
      <c r="U27">
        <f>T27</f>
        <v>569380</v>
      </c>
      <c r="V27">
        <f t="shared" si="2"/>
        <v>0</v>
      </c>
      <c r="W27" t="str">
        <f t="shared" si="3"/>
        <v>CUADRADO (3-WAY OK)</v>
      </c>
      <c r="X27">
        <f>SUMIFS(Detalle_OT!$I$2:$I$592,Detalle_OT!$B$2:$B$592,A27)</f>
        <v>569380</v>
      </c>
      <c r="Y27">
        <f>SUMIFS(Detalle_OT!$H$2:$H$592,Detalle_OT!$B$2:$B$592,A27,Detalle_OT!$C$2:$C$592,"Repuesto")</f>
        <v>293200</v>
      </c>
      <c r="Z27">
        <f>SUMIFS(Detalle_OT!$H$2:$H$592,Detalle_OT!$B$2:$B$592,A27,Detalle_OT!$C$2:$C$592,"Mano de Obra")</f>
        <v>90400</v>
      </c>
      <c r="AA27">
        <f t="shared" si="4"/>
        <v>185780</v>
      </c>
      <c r="AB27">
        <f t="shared" si="5"/>
        <v>0.32628473075977377</v>
      </c>
      <c r="AC27" t="str">
        <f t="shared" si="6"/>
        <v>Margen No Negativo Confirmado</v>
      </c>
      <c r="AD27" t="str">
        <f t="shared" si="7"/>
        <v>2026-05</v>
      </c>
      <c r="AE27" t="str">
        <f t="shared" si="8"/>
        <v>Semana 22</v>
      </c>
      <c r="AF27">
        <f t="shared" si="9"/>
        <v>3</v>
      </c>
      <c r="AG27">
        <f t="shared" si="10"/>
        <v>1</v>
      </c>
      <c r="AH27">
        <f>IF(AND(G27="",OR(I27="En Curso",I27="Reprogramada"),F27&lt;Dashboard!$B$5),1,0)</f>
        <v>0</v>
      </c>
      <c r="AI27">
        <f t="shared" si="11"/>
        <v>0</v>
      </c>
      <c r="AJ27">
        <f t="shared" si="12"/>
        <v>0</v>
      </c>
      <c r="AK27">
        <f>IF(SUMIFS(Detalle_OT!$J$2:$J$592,Detalle_OT!$B$2:$B$592,A27)&gt;0,1,0)</f>
        <v>0</v>
      </c>
      <c r="AL27">
        <f>IF(AND(OR(Dashboard!$D$5="Todos",AD27=Dashboard!$D$5),OR(Dashboard!$F$5="Todos",D27=Dashboard!$F$5),OR(Dashboard!$H$5="Todos",I27=Dashboard!$H$5)),1,0)</f>
        <v>1</v>
      </c>
      <c r="AM27">
        <f>IF(AND(OR(Control_Mandante!$C$4="Todos", AD27=Control_Mandante!$C$4), OR(Control_Mandante!$F$4="Todos", B27=Control_Mandante!$F$4), OR(Control_Mandante!$I$4="Todos", W27=Control_Mandante!$I$4), OR(Control_Mandante!$L$4="Todos", H27=Control_Mandante!$L$4)), 1, 0)</f>
        <v>1</v>
      </c>
      <c r="AN27" t="str">
        <f>IF(AH27=1, COUNTIF(AH$2:AH27, 1), "")</f>
        <v/>
      </c>
      <c r="AO27" t="str">
        <f>IF(AJ27=1, COUNTIF(AJ$2:AJ27, 1), "")</f>
        <v/>
      </c>
      <c r="AP27" t="str">
        <f>IF(AK27=1, COUNTIF(AK$2:AK27, 1), "")</f>
        <v/>
      </c>
    </row>
    <row r="28" spans="1:42" x14ac:dyDescent="0.25">
      <c r="A28" t="s">
        <v>410</v>
      </c>
      <c r="B28" t="s">
        <v>155</v>
      </c>
      <c r="C28" t="s">
        <v>411</v>
      </c>
      <c r="D28" t="s">
        <v>276</v>
      </c>
      <c r="E28" s="43">
        <v>46174</v>
      </c>
      <c r="F28" s="43">
        <v>46177</v>
      </c>
      <c r="G28" s="43">
        <v>46176</v>
      </c>
      <c r="H28" t="s">
        <v>220</v>
      </c>
      <c r="I28" t="s">
        <v>277</v>
      </c>
      <c r="J28" t="s">
        <v>412</v>
      </c>
      <c r="K28" s="43">
        <v>46174</v>
      </c>
      <c r="L28">
        <f t="shared" si="0"/>
        <v>267420</v>
      </c>
      <c r="M28" t="s">
        <v>279</v>
      </c>
      <c r="N28" t="s">
        <v>413</v>
      </c>
      <c r="O28" s="43">
        <v>46175</v>
      </c>
      <c r="P28">
        <f t="shared" si="14"/>
        <v>267420</v>
      </c>
      <c r="Q28" t="s">
        <v>281</v>
      </c>
      <c r="R28" t="s">
        <v>414</v>
      </c>
      <c r="S28" s="43">
        <v>46178</v>
      </c>
      <c r="T28">
        <f t="shared" si="15"/>
        <v>267420</v>
      </c>
      <c r="U28">
        <f>T28*0.5</f>
        <v>133710</v>
      </c>
      <c r="V28">
        <f t="shared" si="2"/>
        <v>133710</v>
      </c>
      <c r="W28" t="str">
        <f t="shared" si="3"/>
        <v>CUADRADO (3-WAY OK)</v>
      </c>
      <c r="X28">
        <f>SUMIFS(Detalle_OT!$I$2:$I$592,Detalle_OT!$B$2:$B$592,A28)</f>
        <v>267420</v>
      </c>
      <c r="Y28">
        <f>SUMIFS(Detalle_OT!$H$2:$H$592,Detalle_OT!$B$2:$B$592,A28,Detalle_OT!$C$2:$C$592,"Repuesto")</f>
        <v>139600</v>
      </c>
      <c r="Z28">
        <f>SUMIFS(Detalle_OT!$H$2:$H$592,Detalle_OT!$B$2:$B$592,A28,Detalle_OT!$C$2:$C$592,"Mano de Obra")</f>
        <v>53600</v>
      </c>
      <c r="AA28">
        <f t="shared" si="4"/>
        <v>74220</v>
      </c>
      <c r="AB28">
        <f t="shared" si="5"/>
        <v>0.27754094682521874</v>
      </c>
      <c r="AC28" t="str">
        <f t="shared" si="6"/>
        <v>Margen No Negativo Confirmado</v>
      </c>
      <c r="AD28" t="str">
        <f t="shared" si="7"/>
        <v>2026-06</v>
      </c>
      <c r="AE28" t="str">
        <f t="shared" si="8"/>
        <v>Semana 23</v>
      </c>
      <c r="AF28">
        <f t="shared" si="9"/>
        <v>2</v>
      </c>
      <c r="AG28">
        <f t="shared" si="10"/>
        <v>1</v>
      </c>
      <c r="AH28">
        <f>IF(AND(G28="",OR(I28="En Curso",I28="Reprogramada"),F28&lt;Dashboard!$B$5),1,0)</f>
        <v>0</v>
      </c>
      <c r="AI28">
        <f t="shared" si="11"/>
        <v>0</v>
      </c>
      <c r="AJ28">
        <f t="shared" si="12"/>
        <v>0</v>
      </c>
      <c r="AK28">
        <f>IF(SUMIFS(Detalle_OT!$J$2:$J$592,Detalle_OT!$B$2:$B$592,A28)&gt;0,1,0)</f>
        <v>0</v>
      </c>
      <c r="AL28">
        <f>IF(AND(OR(Dashboard!$D$5="Todos",AD28=Dashboard!$D$5),OR(Dashboard!$F$5="Todos",D28=Dashboard!$F$5),OR(Dashboard!$H$5="Todos",I28=Dashboard!$H$5)),1,0)</f>
        <v>1</v>
      </c>
      <c r="AM28">
        <f>IF(AND(OR(Control_Mandante!$C$4="Todos", AD28=Control_Mandante!$C$4), OR(Control_Mandante!$F$4="Todos", B28=Control_Mandante!$F$4), OR(Control_Mandante!$I$4="Todos", W28=Control_Mandante!$I$4), OR(Control_Mandante!$L$4="Todos", H28=Control_Mandante!$L$4)), 1, 0)</f>
        <v>1</v>
      </c>
      <c r="AN28" t="str">
        <f>IF(AH28=1, COUNTIF(AH$2:AH28, 1), "")</f>
        <v/>
      </c>
      <c r="AO28" t="str">
        <f>IF(AJ28=1, COUNTIF(AJ$2:AJ28, 1), "")</f>
        <v/>
      </c>
      <c r="AP28" t="str">
        <f>IF(AK28=1, COUNTIF(AK$2:AK28, 1), "")</f>
        <v/>
      </c>
    </row>
    <row r="29" spans="1:42" x14ac:dyDescent="0.25">
      <c r="A29" t="s">
        <v>415</v>
      </c>
      <c r="B29" t="s">
        <v>187</v>
      </c>
      <c r="C29" t="s">
        <v>416</v>
      </c>
      <c r="D29" t="s">
        <v>276</v>
      </c>
      <c r="E29" s="43">
        <v>46174</v>
      </c>
      <c r="F29" s="43">
        <v>46176</v>
      </c>
      <c r="G29" s="43">
        <v>46177</v>
      </c>
      <c r="H29" t="s">
        <v>220</v>
      </c>
      <c r="I29" t="s">
        <v>277</v>
      </c>
      <c r="J29" t="s">
        <v>417</v>
      </c>
      <c r="K29" s="43">
        <v>46174</v>
      </c>
      <c r="L29">
        <f t="shared" si="0"/>
        <v>180060</v>
      </c>
      <c r="M29" t="s">
        <v>279</v>
      </c>
      <c r="N29" t="s">
        <v>418</v>
      </c>
      <c r="O29" s="43">
        <v>46175</v>
      </c>
      <c r="P29">
        <f t="shared" si="14"/>
        <v>180060</v>
      </c>
      <c r="Q29" t="s">
        <v>281</v>
      </c>
      <c r="R29" t="s">
        <v>419</v>
      </c>
      <c r="S29" s="43">
        <v>46179</v>
      </c>
      <c r="T29">
        <f t="shared" si="15"/>
        <v>180060</v>
      </c>
      <c r="U29">
        <f>T29</f>
        <v>180060</v>
      </c>
      <c r="V29">
        <f t="shared" si="2"/>
        <v>0</v>
      </c>
      <c r="W29" t="str">
        <f t="shared" si="3"/>
        <v>CUADRADO (3-WAY OK)</v>
      </c>
      <c r="X29">
        <f>SUMIFS(Detalle_OT!$I$2:$I$592,Detalle_OT!$B$2:$B$592,A29)</f>
        <v>180060</v>
      </c>
      <c r="Y29">
        <f>SUMIFS(Detalle_OT!$H$2:$H$592,Detalle_OT!$B$2:$B$592,A29,Detalle_OT!$C$2:$C$592,"Repuesto")</f>
        <v>103530</v>
      </c>
      <c r="Z29">
        <f>SUMIFS(Detalle_OT!$H$2:$H$592,Detalle_OT!$B$2:$B$592,A29,Detalle_OT!$C$2:$C$592,"Mano de Obra")</f>
        <v>126500</v>
      </c>
      <c r="AA29" t="str">
        <f t="shared" si="4"/>
        <v/>
      </c>
      <c r="AB29" t="str">
        <f t="shared" si="5"/>
        <v/>
      </c>
      <c r="AC29" t="str">
        <f t="shared" si="6"/>
        <v>Pendiente de Validación</v>
      </c>
      <c r="AD29" t="str">
        <f t="shared" si="7"/>
        <v>2026-06</v>
      </c>
      <c r="AE29" t="str">
        <f t="shared" si="8"/>
        <v>Semana 23</v>
      </c>
      <c r="AF29">
        <f t="shared" si="9"/>
        <v>3</v>
      </c>
      <c r="AG29">
        <f t="shared" si="10"/>
        <v>0</v>
      </c>
      <c r="AH29">
        <f>IF(AND(G29="",OR(I29="En Curso",I29="Reprogramada"),F29&lt;Dashboard!$B$5),1,0)</f>
        <v>0</v>
      </c>
      <c r="AI29">
        <f t="shared" si="11"/>
        <v>0</v>
      </c>
      <c r="AJ29">
        <f t="shared" si="12"/>
        <v>0</v>
      </c>
      <c r="AK29">
        <f>IF(SUMIFS(Detalle_OT!$J$2:$J$592,Detalle_OT!$B$2:$B$592,A29)&gt;0,1,0)</f>
        <v>1</v>
      </c>
      <c r="AL29">
        <f>IF(AND(OR(Dashboard!$D$5="Todos",AD29=Dashboard!$D$5),OR(Dashboard!$F$5="Todos",D29=Dashboard!$F$5),OR(Dashboard!$H$5="Todos",I29=Dashboard!$H$5)),1,0)</f>
        <v>1</v>
      </c>
      <c r="AM29">
        <f>IF(AND(OR(Control_Mandante!$C$4="Todos", AD29=Control_Mandante!$C$4), OR(Control_Mandante!$F$4="Todos", B29=Control_Mandante!$F$4), OR(Control_Mandante!$I$4="Todos", W29=Control_Mandante!$I$4), OR(Control_Mandante!$L$4="Todos", H29=Control_Mandante!$L$4)), 1, 0)</f>
        <v>1</v>
      </c>
      <c r="AN29" t="str">
        <f>IF(AH29=1, COUNTIF(AH$2:AH29, 1), "")</f>
        <v/>
      </c>
      <c r="AO29" t="str">
        <f>IF(AJ29=1, COUNTIF(AJ$2:AJ29, 1), "")</f>
        <v/>
      </c>
      <c r="AP29">
        <f>IF(AK29=1, COUNTIF(AK$2:AK29, 1), "")</f>
        <v>1</v>
      </c>
    </row>
    <row r="30" spans="1:42" x14ac:dyDescent="0.25">
      <c r="A30" t="s">
        <v>420</v>
      </c>
      <c r="B30" t="s">
        <v>174</v>
      </c>
      <c r="C30" t="s">
        <v>421</v>
      </c>
      <c r="D30" t="s">
        <v>276</v>
      </c>
      <c r="E30" s="43">
        <v>46181</v>
      </c>
      <c r="F30" s="43">
        <v>46184</v>
      </c>
      <c r="G30" s="43">
        <v>46191</v>
      </c>
      <c r="H30" t="s">
        <v>215</v>
      </c>
      <c r="I30" t="s">
        <v>277</v>
      </c>
      <c r="J30" t="s">
        <v>422</v>
      </c>
      <c r="K30" s="43">
        <v>46181</v>
      </c>
      <c r="L30">
        <f t="shared" si="0"/>
        <v>247480</v>
      </c>
      <c r="M30" t="s">
        <v>279</v>
      </c>
      <c r="N30" t="s">
        <v>423</v>
      </c>
      <c r="O30" s="43">
        <v>46182</v>
      </c>
      <c r="P30">
        <f t="shared" si="14"/>
        <v>247480</v>
      </c>
      <c r="Q30" t="s">
        <v>281</v>
      </c>
      <c r="R30" t="s">
        <v>424</v>
      </c>
      <c r="S30" s="43">
        <v>46193</v>
      </c>
      <c r="T30">
        <f t="shared" si="15"/>
        <v>247480</v>
      </c>
      <c r="U30">
        <f>T30</f>
        <v>247480</v>
      </c>
      <c r="V30">
        <f t="shared" si="2"/>
        <v>0</v>
      </c>
      <c r="W30" t="str">
        <f t="shared" si="3"/>
        <v>CUADRADO (3-WAY OK)</v>
      </c>
      <c r="X30">
        <f>SUMIFS(Detalle_OT!$I$2:$I$592,Detalle_OT!$B$2:$B$592,A30)</f>
        <v>247480</v>
      </c>
      <c r="Y30">
        <f>SUMIFS(Detalle_OT!$H$2:$H$592,Detalle_OT!$B$2:$B$592,A30,Detalle_OT!$C$2:$C$592,"Repuesto")</f>
        <v>153030</v>
      </c>
      <c r="Z30">
        <f>SUMIFS(Detalle_OT!$H$2:$H$592,Detalle_OT!$B$2:$B$592,A30,Detalle_OT!$C$2:$C$592,"Mano de Obra")</f>
        <v>26000</v>
      </c>
      <c r="AA30">
        <f t="shared" si="4"/>
        <v>68450</v>
      </c>
      <c r="AB30">
        <f t="shared" si="5"/>
        <v>0.2765880071116858</v>
      </c>
      <c r="AC30" t="str">
        <f t="shared" si="6"/>
        <v>Margen No Negativo Confirmado</v>
      </c>
      <c r="AD30" t="str">
        <f t="shared" si="7"/>
        <v>2026-06</v>
      </c>
      <c r="AE30" t="str">
        <f t="shared" si="8"/>
        <v>Semana 24</v>
      </c>
      <c r="AF30">
        <f t="shared" si="9"/>
        <v>10</v>
      </c>
      <c r="AG30">
        <f t="shared" si="10"/>
        <v>0</v>
      </c>
      <c r="AH30">
        <f>IF(AND(G30="",OR(I30="En Curso",I30="Reprogramada"),F30&lt;Dashboard!$B$5),1,0)</f>
        <v>0</v>
      </c>
      <c r="AI30">
        <f t="shared" si="11"/>
        <v>0</v>
      </c>
      <c r="AJ30">
        <f t="shared" si="12"/>
        <v>0</v>
      </c>
      <c r="AK30">
        <f>IF(SUMIFS(Detalle_OT!$J$2:$J$592,Detalle_OT!$B$2:$B$592,A30)&gt;0,1,0)</f>
        <v>0</v>
      </c>
      <c r="AL30">
        <f>IF(AND(OR(Dashboard!$D$5="Todos",AD30=Dashboard!$D$5),OR(Dashboard!$F$5="Todos",D30=Dashboard!$F$5),OR(Dashboard!$H$5="Todos",I30=Dashboard!$H$5)),1,0)</f>
        <v>1</v>
      </c>
      <c r="AM30">
        <f>IF(AND(OR(Control_Mandante!$C$4="Todos", AD30=Control_Mandante!$C$4), OR(Control_Mandante!$F$4="Todos", B30=Control_Mandante!$F$4), OR(Control_Mandante!$I$4="Todos", W30=Control_Mandante!$I$4), OR(Control_Mandante!$L$4="Todos", H30=Control_Mandante!$L$4)), 1, 0)</f>
        <v>1</v>
      </c>
      <c r="AN30" t="str">
        <f>IF(AH30=1, COUNTIF(AH$2:AH30, 1), "")</f>
        <v/>
      </c>
      <c r="AO30" t="str">
        <f>IF(AJ30=1, COUNTIF(AJ$2:AJ30, 1), "")</f>
        <v/>
      </c>
      <c r="AP30" t="str">
        <f>IF(AK30=1, COUNTIF(AK$2:AK30, 1), "")</f>
        <v/>
      </c>
    </row>
    <row r="31" spans="1:42" x14ac:dyDescent="0.25">
      <c r="A31" t="s">
        <v>425</v>
      </c>
      <c r="B31" t="s">
        <v>177</v>
      </c>
      <c r="C31" t="s">
        <v>426</v>
      </c>
      <c r="D31" t="s">
        <v>276</v>
      </c>
      <c r="E31" s="43">
        <v>46182</v>
      </c>
      <c r="F31" s="43">
        <v>46184</v>
      </c>
      <c r="G31" s="43">
        <v>46184</v>
      </c>
      <c r="H31" t="s">
        <v>220</v>
      </c>
      <c r="I31" t="s">
        <v>277</v>
      </c>
      <c r="J31" t="s">
        <v>427</v>
      </c>
      <c r="K31" s="43">
        <v>46182</v>
      </c>
      <c r="L31">
        <f t="shared" si="0"/>
        <v>171790</v>
      </c>
      <c r="M31" t="s">
        <v>279</v>
      </c>
      <c r="N31" t="s">
        <v>428</v>
      </c>
      <c r="O31" s="43">
        <v>46183</v>
      </c>
      <c r="P31">
        <f t="shared" si="14"/>
        <v>171790</v>
      </c>
      <c r="Q31" t="s">
        <v>281</v>
      </c>
      <c r="R31" t="s">
        <v>429</v>
      </c>
      <c r="S31" s="43">
        <v>46186</v>
      </c>
      <c r="T31">
        <f t="shared" si="15"/>
        <v>171790</v>
      </c>
      <c r="U31">
        <f>T31*0.5</f>
        <v>85895</v>
      </c>
      <c r="V31">
        <f t="shared" si="2"/>
        <v>85895</v>
      </c>
      <c r="W31" t="str">
        <f t="shared" si="3"/>
        <v>CUADRADO (3-WAY OK)</v>
      </c>
      <c r="X31">
        <f>SUMIFS(Detalle_OT!$I$2:$I$592,Detalle_OT!$B$2:$B$592,A31)</f>
        <v>171790</v>
      </c>
      <c r="Y31">
        <f>SUMIFS(Detalle_OT!$H$2:$H$592,Detalle_OT!$B$2:$B$592,A31,Detalle_OT!$C$2:$C$592,"Repuesto")</f>
        <v>21500</v>
      </c>
      <c r="Z31">
        <f>SUMIFS(Detalle_OT!$H$2:$H$592,Detalle_OT!$B$2:$B$592,A31,Detalle_OT!$C$2:$C$592,"Mano de Obra")</f>
        <v>84000</v>
      </c>
      <c r="AA31">
        <f t="shared" si="4"/>
        <v>66290</v>
      </c>
      <c r="AB31">
        <f t="shared" si="5"/>
        <v>0.38587810699109376</v>
      </c>
      <c r="AC31" t="str">
        <f t="shared" si="6"/>
        <v>Margen No Negativo Confirmado</v>
      </c>
      <c r="AD31" t="str">
        <f t="shared" si="7"/>
        <v>2026-06</v>
      </c>
      <c r="AE31" t="str">
        <f t="shared" si="8"/>
        <v>Semana 24</v>
      </c>
      <c r="AF31">
        <f t="shared" si="9"/>
        <v>2</v>
      </c>
      <c r="AG31">
        <f t="shared" si="10"/>
        <v>1</v>
      </c>
      <c r="AH31">
        <f>IF(AND(G31="",OR(I31="En Curso",I31="Reprogramada"),F31&lt;Dashboard!$B$5),1,0)</f>
        <v>0</v>
      </c>
      <c r="AI31">
        <f t="shared" si="11"/>
        <v>0</v>
      </c>
      <c r="AJ31">
        <f t="shared" si="12"/>
        <v>0</v>
      </c>
      <c r="AK31">
        <f>IF(SUMIFS(Detalle_OT!$J$2:$J$592,Detalle_OT!$B$2:$B$592,A31)&gt;0,1,0)</f>
        <v>0</v>
      </c>
      <c r="AL31">
        <f>IF(AND(OR(Dashboard!$D$5="Todos",AD31=Dashboard!$D$5),OR(Dashboard!$F$5="Todos",D31=Dashboard!$F$5),OR(Dashboard!$H$5="Todos",I31=Dashboard!$H$5)),1,0)</f>
        <v>1</v>
      </c>
      <c r="AM31">
        <f>IF(AND(OR(Control_Mandante!$C$4="Todos", AD31=Control_Mandante!$C$4), OR(Control_Mandante!$F$4="Todos", B31=Control_Mandante!$F$4), OR(Control_Mandante!$I$4="Todos", W31=Control_Mandante!$I$4), OR(Control_Mandante!$L$4="Todos", H31=Control_Mandante!$L$4)), 1, 0)</f>
        <v>1</v>
      </c>
      <c r="AN31" t="str">
        <f>IF(AH31=1, COUNTIF(AH$2:AH31, 1), "")</f>
        <v/>
      </c>
      <c r="AO31" t="str">
        <f>IF(AJ31=1, COUNTIF(AJ$2:AJ31, 1), "")</f>
        <v/>
      </c>
      <c r="AP31" t="str">
        <f>IF(AK31=1, COUNTIF(AK$2:AK31, 1), "")</f>
        <v/>
      </c>
    </row>
    <row r="32" spans="1:42" x14ac:dyDescent="0.25">
      <c r="A32" t="s">
        <v>430</v>
      </c>
      <c r="B32" t="s">
        <v>209</v>
      </c>
      <c r="C32" t="s">
        <v>431</v>
      </c>
      <c r="D32" t="s">
        <v>301</v>
      </c>
      <c r="E32" s="43">
        <v>46184</v>
      </c>
      <c r="F32" s="43">
        <v>46189</v>
      </c>
      <c r="G32" s="43">
        <v>46196</v>
      </c>
      <c r="H32" t="s">
        <v>229</v>
      </c>
      <c r="I32" t="s">
        <v>277</v>
      </c>
      <c r="J32" t="s">
        <v>432</v>
      </c>
      <c r="K32" s="43">
        <v>46184</v>
      </c>
      <c r="L32">
        <f t="shared" si="0"/>
        <v>257940</v>
      </c>
      <c r="M32" t="s">
        <v>279</v>
      </c>
      <c r="N32" t="s">
        <v>433</v>
      </c>
      <c r="O32" s="43">
        <v>46185</v>
      </c>
      <c r="P32">
        <f t="shared" si="14"/>
        <v>257940</v>
      </c>
      <c r="Q32" t="s">
        <v>281</v>
      </c>
      <c r="R32" t="s">
        <v>434</v>
      </c>
      <c r="S32" s="43">
        <v>46198</v>
      </c>
      <c r="T32">
        <f t="shared" si="15"/>
        <v>257940</v>
      </c>
      <c r="U32">
        <f>T32</f>
        <v>257940</v>
      </c>
      <c r="V32">
        <f t="shared" si="2"/>
        <v>0</v>
      </c>
      <c r="W32" t="str">
        <f t="shared" si="3"/>
        <v>CUADRADO (3-WAY OK)</v>
      </c>
      <c r="X32">
        <f>SUMIFS(Detalle_OT!$I$2:$I$592,Detalle_OT!$B$2:$B$592,A32)</f>
        <v>257940</v>
      </c>
      <c r="Y32">
        <f>SUMIFS(Detalle_OT!$H$2:$H$592,Detalle_OT!$B$2:$B$592,A32,Detalle_OT!$C$2:$C$592,"Repuesto")</f>
        <v>33000</v>
      </c>
      <c r="Z32">
        <f>SUMIFS(Detalle_OT!$H$2:$H$592,Detalle_OT!$B$2:$B$592,A32,Detalle_OT!$C$2:$C$592,"Mano de Obra")</f>
        <v>106400</v>
      </c>
      <c r="AA32">
        <f t="shared" si="4"/>
        <v>118540</v>
      </c>
      <c r="AB32">
        <f t="shared" si="5"/>
        <v>0.45956423974567728</v>
      </c>
      <c r="AC32" t="str">
        <f t="shared" si="6"/>
        <v>Margen No Negativo Confirmado</v>
      </c>
      <c r="AD32" t="str">
        <f t="shared" si="7"/>
        <v>2026-06</v>
      </c>
      <c r="AE32" t="str">
        <f t="shared" si="8"/>
        <v>Semana 24</v>
      </c>
      <c r="AF32">
        <f t="shared" si="9"/>
        <v>12</v>
      </c>
      <c r="AG32">
        <f t="shared" si="10"/>
        <v>0</v>
      </c>
      <c r="AH32">
        <f>IF(AND(G32="",OR(I32="En Curso",I32="Reprogramada"),F32&lt;Dashboard!$B$5),1,0)</f>
        <v>0</v>
      </c>
      <c r="AI32">
        <f t="shared" si="11"/>
        <v>0</v>
      </c>
      <c r="AJ32">
        <f t="shared" si="12"/>
        <v>0</v>
      </c>
      <c r="AK32">
        <f>IF(SUMIFS(Detalle_OT!$J$2:$J$592,Detalle_OT!$B$2:$B$592,A32)&gt;0,1,0)</f>
        <v>0</v>
      </c>
      <c r="AL32">
        <f>IF(AND(OR(Dashboard!$D$5="Todos",AD32=Dashboard!$D$5),OR(Dashboard!$F$5="Todos",D32=Dashboard!$F$5),OR(Dashboard!$H$5="Todos",I32=Dashboard!$H$5)),1,0)</f>
        <v>1</v>
      </c>
      <c r="AM32">
        <f>IF(AND(OR(Control_Mandante!$C$4="Todos", AD32=Control_Mandante!$C$4), OR(Control_Mandante!$F$4="Todos", B32=Control_Mandante!$F$4), OR(Control_Mandante!$I$4="Todos", W32=Control_Mandante!$I$4), OR(Control_Mandante!$L$4="Todos", H32=Control_Mandante!$L$4)), 1, 0)</f>
        <v>1</v>
      </c>
      <c r="AN32" t="str">
        <f>IF(AH32=1, COUNTIF(AH$2:AH32, 1), "")</f>
        <v/>
      </c>
      <c r="AO32" t="str">
        <f>IF(AJ32=1, COUNTIF(AJ$2:AJ32, 1), "")</f>
        <v/>
      </c>
      <c r="AP32" t="str">
        <f>IF(AK32=1, COUNTIF(AK$2:AK32, 1), "")</f>
        <v/>
      </c>
    </row>
    <row r="33" spans="1:42" x14ac:dyDescent="0.25">
      <c r="A33" t="s">
        <v>435</v>
      </c>
      <c r="B33" t="s">
        <v>174</v>
      </c>
      <c r="C33" t="s">
        <v>436</v>
      </c>
      <c r="D33" t="s">
        <v>295</v>
      </c>
      <c r="E33" s="43">
        <v>46186</v>
      </c>
      <c r="F33" s="43">
        <v>46200</v>
      </c>
      <c r="G33" s="43">
        <v>46199</v>
      </c>
      <c r="H33" t="s">
        <v>225</v>
      </c>
      <c r="I33" t="s">
        <v>277</v>
      </c>
      <c r="J33" t="s">
        <v>437</v>
      </c>
      <c r="K33" s="43">
        <v>46186</v>
      </c>
      <c r="L33">
        <f t="shared" si="0"/>
        <v>1172390</v>
      </c>
      <c r="M33" t="s">
        <v>279</v>
      </c>
      <c r="N33" t="s">
        <v>438</v>
      </c>
      <c r="O33" s="43">
        <v>46187</v>
      </c>
      <c r="P33">
        <f t="shared" si="14"/>
        <v>1172390</v>
      </c>
      <c r="Q33" t="s">
        <v>281</v>
      </c>
      <c r="R33" t="s">
        <v>439</v>
      </c>
      <c r="S33" s="43">
        <v>46201</v>
      </c>
      <c r="T33">
        <f t="shared" si="15"/>
        <v>1172390</v>
      </c>
      <c r="U33">
        <f>T33</f>
        <v>1172390</v>
      </c>
      <c r="V33">
        <f t="shared" si="2"/>
        <v>0</v>
      </c>
      <c r="W33" t="str">
        <f t="shared" si="3"/>
        <v>CUADRADO (3-WAY OK)</v>
      </c>
      <c r="X33">
        <f>SUMIFS(Detalle_OT!$I$2:$I$592,Detalle_OT!$B$2:$B$592,A33)</f>
        <v>1172390</v>
      </c>
      <c r="Y33">
        <f>SUMIFS(Detalle_OT!$H$2:$H$592,Detalle_OT!$B$2:$B$592,A33,Detalle_OT!$C$2:$C$592,"Repuesto")</f>
        <v>30360</v>
      </c>
      <c r="Z33">
        <f>SUMIFS(Detalle_OT!$H$2:$H$592,Detalle_OT!$B$2:$B$592,A33,Detalle_OT!$C$2:$C$592,"Mano de Obra")</f>
        <v>630800</v>
      </c>
      <c r="AA33">
        <f t="shared" si="4"/>
        <v>511230</v>
      </c>
      <c r="AB33">
        <f t="shared" si="5"/>
        <v>0.43605796705874322</v>
      </c>
      <c r="AC33" t="str">
        <f t="shared" si="6"/>
        <v>Margen No Negativo Confirmado</v>
      </c>
      <c r="AD33" t="str">
        <f t="shared" si="7"/>
        <v>2026-06</v>
      </c>
      <c r="AE33" t="str">
        <f t="shared" si="8"/>
        <v>Semana 24</v>
      </c>
      <c r="AF33">
        <f t="shared" si="9"/>
        <v>13</v>
      </c>
      <c r="AG33">
        <f t="shared" si="10"/>
        <v>1</v>
      </c>
      <c r="AH33">
        <f>IF(AND(G33="",OR(I33="En Curso",I33="Reprogramada"),F33&lt;Dashboard!$B$5),1,0)</f>
        <v>0</v>
      </c>
      <c r="AI33">
        <f t="shared" si="11"/>
        <v>0</v>
      </c>
      <c r="AJ33">
        <f t="shared" si="12"/>
        <v>0</v>
      </c>
      <c r="AK33">
        <f>IF(SUMIFS(Detalle_OT!$J$2:$J$592,Detalle_OT!$B$2:$B$592,A33)&gt;0,1,0)</f>
        <v>0</v>
      </c>
      <c r="AL33">
        <f>IF(AND(OR(Dashboard!$D$5="Todos",AD33=Dashboard!$D$5),OR(Dashboard!$F$5="Todos",D33=Dashboard!$F$5),OR(Dashboard!$H$5="Todos",I33=Dashboard!$H$5)),1,0)</f>
        <v>1</v>
      </c>
      <c r="AM33">
        <f>IF(AND(OR(Control_Mandante!$C$4="Todos", AD33=Control_Mandante!$C$4), OR(Control_Mandante!$F$4="Todos", B33=Control_Mandante!$F$4), OR(Control_Mandante!$I$4="Todos", W33=Control_Mandante!$I$4), OR(Control_Mandante!$L$4="Todos", H33=Control_Mandante!$L$4)), 1, 0)</f>
        <v>1</v>
      </c>
      <c r="AN33" t="str">
        <f>IF(AH33=1, COUNTIF(AH$2:AH33, 1), "")</f>
        <v/>
      </c>
      <c r="AO33" t="str">
        <f>IF(AJ33=1, COUNTIF(AJ$2:AJ33, 1), "")</f>
        <v/>
      </c>
      <c r="AP33" t="str">
        <f>IF(AK33=1, COUNTIF(AK$2:AK33, 1), "")</f>
        <v/>
      </c>
    </row>
    <row r="34" spans="1:42" x14ac:dyDescent="0.25">
      <c r="A34" t="s">
        <v>440</v>
      </c>
      <c r="B34" t="s">
        <v>196</v>
      </c>
      <c r="C34" t="s">
        <v>441</v>
      </c>
      <c r="D34" t="s">
        <v>295</v>
      </c>
      <c r="E34" s="43">
        <v>46186</v>
      </c>
      <c r="F34" s="43">
        <v>46194</v>
      </c>
      <c r="G34" s="43">
        <v>46192</v>
      </c>
      <c r="H34" t="s">
        <v>218</v>
      </c>
      <c r="I34" t="s">
        <v>277</v>
      </c>
      <c r="J34" t="s">
        <v>442</v>
      </c>
      <c r="K34" s="43">
        <v>46186</v>
      </c>
      <c r="L34">
        <f t="shared" ref="L34:L65" si="16">X34</f>
        <v>1001280</v>
      </c>
      <c r="M34" t="s">
        <v>279</v>
      </c>
      <c r="N34" t="s">
        <v>443</v>
      </c>
      <c r="O34" s="43">
        <v>46187</v>
      </c>
      <c r="P34">
        <f t="shared" si="14"/>
        <v>1001280</v>
      </c>
      <c r="Q34" t="s">
        <v>281</v>
      </c>
      <c r="R34" t="s">
        <v>444</v>
      </c>
      <c r="S34" s="43">
        <v>46194</v>
      </c>
      <c r="T34">
        <f t="shared" si="15"/>
        <v>1001280</v>
      </c>
      <c r="U34">
        <f>T34*0.5</f>
        <v>500640</v>
      </c>
      <c r="V34">
        <f t="shared" ref="V34:V65" si="17">IF(R34&lt;&gt;"", T34-U34, 0)</f>
        <v>500640</v>
      </c>
      <c r="W34" t="str">
        <f t="shared" ref="W34:W65" si="18">IF(OR(M34="Pendiente", M34="Rechazado"), "Presupuesto No Aprobado", IF(N34="", "Falta OC Mandante", IF(R34="", "OC Recibida - Pendiente Factura", IF(AND(L34=P34, P34=T34), "CUADRADO (3-WAY OK)", "DESCUADRE DE MONTOS"))))</f>
        <v>CUADRADO (3-WAY OK)</v>
      </c>
      <c r="X34">
        <f>SUMIFS(Detalle_OT!$I$2:$I$592,Detalle_OT!$B$2:$B$592,A34)</f>
        <v>1001280</v>
      </c>
      <c r="Y34">
        <f>SUMIFS(Detalle_OT!$H$2:$H$592,Detalle_OT!$B$2:$B$592,A34,Detalle_OT!$C$2:$C$592,"Repuesto")</f>
        <v>427160</v>
      </c>
      <c r="Z34">
        <f>SUMIFS(Detalle_OT!$H$2:$H$592,Detalle_OT!$B$2:$B$592,A34,Detalle_OT!$C$2:$C$592,"Mano de Obra")</f>
        <v>274000</v>
      </c>
      <c r="AA34">
        <f t="shared" ref="AA34:AA65" si="19">IF(AK34=1, "", X34-Y34-Z34)</f>
        <v>300120</v>
      </c>
      <c r="AB34">
        <f t="shared" ref="AB34:AB65" si="20">IF(OR(AK34=1, X34=0, ISBLANK(X34)), "", AA34/X34)</f>
        <v>0.29973633748801531</v>
      </c>
      <c r="AC34" t="str">
        <f t="shared" ref="AC34:AC65" si="21">IF(AK34=1, "Pendiente de Validación", IF(AA34&lt;0, "Margen Negativo Confirmado", "Margen No Negativo Confirmado"))</f>
        <v>Margen No Negativo Confirmado</v>
      </c>
      <c r="AD34" t="str">
        <f t="shared" ref="AD34:AD65" si="22">YEAR(E34)&amp;"-"&amp;TEXT(MONTH(E34),"00")</f>
        <v>2026-06</v>
      </c>
      <c r="AE34" t="str">
        <f t="shared" ref="AE34:AE65" si="23">"Semana "&amp;WEEKNUM(E34)</f>
        <v>Semana 24</v>
      </c>
      <c r="AF34">
        <f t="shared" ref="AF34:AF65" si="24">IF(G34&lt;&gt;"", G34-E34, "")</f>
        <v>6</v>
      </c>
      <c r="AG34">
        <f t="shared" ref="AG34:AG65" si="25">IF(G34="","",IF(G34&lt;=F34,1,0))</f>
        <v>1</v>
      </c>
      <c r="AH34">
        <f>IF(AND(G34="",OR(I34="En Curso",I34="Reprogramada"),F34&lt;Dashboard!$B$5),1,0)</f>
        <v>0</v>
      </c>
      <c r="AI34">
        <f t="shared" ref="AI34:AI65" si="26">IF(AND(M34="Aprobado", N34=""), 1, 0)</f>
        <v>0</v>
      </c>
      <c r="AJ34">
        <f t="shared" ref="AJ34:AJ65" si="27">IF(AND(OR(I34="Terminada",I34="Entregada"), R34=""), 1, 0)</f>
        <v>0</v>
      </c>
      <c r="AK34">
        <f>IF(SUMIFS(Detalle_OT!$J$2:$J$592,Detalle_OT!$B$2:$B$592,A34)&gt;0,1,0)</f>
        <v>0</v>
      </c>
      <c r="AL34">
        <f>IF(AND(OR(Dashboard!$D$5="Todos",AD34=Dashboard!$D$5),OR(Dashboard!$F$5="Todos",D34=Dashboard!$F$5),OR(Dashboard!$H$5="Todos",I34=Dashboard!$H$5)),1,0)</f>
        <v>1</v>
      </c>
      <c r="AM34">
        <f>IF(AND(OR(Control_Mandante!$C$4="Todos", AD34=Control_Mandante!$C$4), OR(Control_Mandante!$F$4="Todos", B34=Control_Mandante!$F$4), OR(Control_Mandante!$I$4="Todos", W34=Control_Mandante!$I$4), OR(Control_Mandante!$L$4="Todos", H34=Control_Mandante!$L$4)), 1, 0)</f>
        <v>1</v>
      </c>
      <c r="AN34" t="str">
        <f>IF(AH34=1, COUNTIF(AH$2:AH34, 1), "")</f>
        <v/>
      </c>
      <c r="AO34" t="str">
        <f>IF(AJ34=1, COUNTIF(AJ$2:AJ34, 1), "")</f>
        <v/>
      </c>
      <c r="AP34" t="str">
        <f>IF(AK34=1, COUNTIF(AK$2:AK34, 1), "")</f>
        <v/>
      </c>
    </row>
    <row r="35" spans="1:42" x14ac:dyDescent="0.25">
      <c r="A35" t="s">
        <v>445</v>
      </c>
      <c r="B35" t="s">
        <v>168</v>
      </c>
      <c r="C35" t="s">
        <v>446</v>
      </c>
      <c r="D35" t="s">
        <v>276</v>
      </c>
      <c r="E35" s="43">
        <v>46187</v>
      </c>
      <c r="F35" s="43">
        <v>46190</v>
      </c>
      <c r="G35" s="43">
        <v>46197</v>
      </c>
      <c r="H35" t="s">
        <v>218</v>
      </c>
      <c r="I35" t="s">
        <v>277</v>
      </c>
      <c r="J35" t="s">
        <v>447</v>
      </c>
      <c r="K35" s="43">
        <v>46187</v>
      </c>
      <c r="L35">
        <f t="shared" si="16"/>
        <v>369280</v>
      </c>
      <c r="M35" t="s">
        <v>279</v>
      </c>
      <c r="N35" t="s">
        <v>448</v>
      </c>
      <c r="O35" s="43">
        <v>46188</v>
      </c>
      <c r="P35">
        <f t="shared" si="14"/>
        <v>369280</v>
      </c>
      <c r="Q35" t="s">
        <v>281</v>
      </c>
      <c r="R35" t="s">
        <v>449</v>
      </c>
      <c r="S35" s="43">
        <v>46199</v>
      </c>
      <c r="T35">
        <f t="shared" si="15"/>
        <v>369280</v>
      </c>
      <c r="U35">
        <f>T35</f>
        <v>369280</v>
      </c>
      <c r="V35">
        <f t="shared" si="17"/>
        <v>0</v>
      </c>
      <c r="W35" t="str">
        <f t="shared" si="18"/>
        <v>CUADRADO (3-WAY OK)</v>
      </c>
      <c r="X35">
        <f>SUMIFS(Detalle_OT!$I$2:$I$592,Detalle_OT!$B$2:$B$592,A35)</f>
        <v>369280</v>
      </c>
      <c r="Y35">
        <f>SUMIFS(Detalle_OT!$H$2:$H$592,Detalle_OT!$B$2:$B$592,A35,Detalle_OT!$C$2:$C$592,"Repuesto")</f>
        <v>170740</v>
      </c>
      <c r="Z35">
        <f>SUMIFS(Detalle_OT!$H$2:$H$592,Detalle_OT!$B$2:$B$592,A35,Detalle_OT!$C$2:$C$592,"Mano de Obra")</f>
        <v>67600</v>
      </c>
      <c r="AA35">
        <f t="shared" si="19"/>
        <v>130940</v>
      </c>
      <c r="AB35">
        <f t="shared" si="20"/>
        <v>0.35458188908145583</v>
      </c>
      <c r="AC35" t="str">
        <f t="shared" si="21"/>
        <v>Margen No Negativo Confirmado</v>
      </c>
      <c r="AD35" t="str">
        <f t="shared" si="22"/>
        <v>2026-06</v>
      </c>
      <c r="AE35" t="str">
        <f t="shared" si="23"/>
        <v>Semana 25</v>
      </c>
      <c r="AF35">
        <f t="shared" si="24"/>
        <v>10</v>
      </c>
      <c r="AG35">
        <f t="shared" si="25"/>
        <v>0</v>
      </c>
      <c r="AH35">
        <f>IF(AND(G35="",OR(I35="En Curso",I35="Reprogramada"),F35&lt;Dashboard!$B$5),1,0)</f>
        <v>0</v>
      </c>
      <c r="AI35">
        <f t="shared" si="26"/>
        <v>0</v>
      </c>
      <c r="AJ35">
        <f t="shared" si="27"/>
        <v>0</v>
      </c>
      <c r="AK35">
        <f>IF(SUMIFS(Detalle_OT!$J$2:$J$592,Detalle_OT!$B$2:$B$592,A35)&gt;0,1,0)</f>
        <v>0</v>
      </c>
      <c r="AL35">
        <f>IF(AND(OR(Dashboard!$D$5="Todos",AD35=Dashboard!$D$5),OR(Dashboard!$F$5="Todos",D35=Dashboard!$F$5),OR(Dashboard!$H$5="Todos",I35=Dashboard!$H$5)),1,0)</f>
        <v>1</v>
      </c>
      <c r="AM35">
        <f>IF(AND(OR(Control_Mandante!$C$4="Todos", AD35=Control_Mandante!$C$4), OR(Control_Mandante!$F$4="Todos", B35=Control_Mandante!$F$4), OR(Control_Mandante!$I$4="Todos", W35=Control_Mandante!$I$4), OR(Control_Mandante!$L$4="Todos", H35=Control_Mandante!$L$4)), 1, 0)</f>
        <v>1</v>
      </c>
      <c r="AN35" t="str">
        <f>IF(AH35=1, COUNTIF(AH$2:AH35, 1), "")</f>
        <v/>
      </c>
      <c r="AO35" t="str">
        <f>IF(AJ35=1, COUNTIF(AJ$2:AJ35, 1), "")</f>
        <v/>
      </c>
      <c r="AP35" t="str">
        <f>IF(AK35=1, COUNTIF(AK$2:AK35, 1), "")</f>
        <v/>
      </c>
    </row>
    <row r="36" spans="1:42" x14ac:dyDescent="0.25">
      <c r="A36" t="s">
        <v>450</v>
      </c>
      <c r="B36" t="s">
        <v>180</v>
      </c>
      <c r="C36" t="s">
        <v>451</v>
      </c>
      <c r="D36" t="s">
        <v>295</v>
      </c>
      <c r="E36" s="43">
        <v>46187</v>
      </c>
      <c r="F36" s="43">
        <v>46205</v>
      </c>
      <c r="G36" s="43">
        <v>46205</v>
      </c>
      <c r="H36" t="s">
        <v>225</v>
      </c>
      <c r="I36" t="s">
        <v>277</v>
      </c>
      <c r="J36" t="s">
        <v>452</v>
      </c>
      <c r="K36" s="43">
        <v>46187</v>
      </c>
      <c r="L36">
        <f t="shared" si="16"/>
        <v>979750</v>
      </c>
      <c r="M36" t="s">
        <v>279</v>
      </c>
      <c r="N36" t="s">
        <v>453</v>
      </c>
      <c r="O36" s="43">
        <v>46188</v>
      </c>
      <c r="P36">
        <f t="shared" si="14"/>
        <v>979750</v>
      </c>
      <c r="Q36" t="s">
        <v>281</v>
      </c>
      <c r="R36" t="s">
        <v>454</v>
      </c>
      <c r="S36" s="43">
        <v>46207</v>
      </c>
      <c r="T36">
        <f t="shared" si="15"/>
        <v>979750</v>
      </c>
      <c r="U36">
        <f>T36</f>
        <v>979750</v>
      </c>
      <c r="V36">
        <f t="shared" si="17"/>
        <v>0</v>
      </c>
      <c r="W36" t="str">
        <f t="shared" si="18"/>
        <v>CUADRADO (3-WAY OK)</v>
      </c>
      <c r="X36">
        <f>SUMIFS(Detalle_OT!$I$2:$I$592,Detalle_OT!$B$2:$B$592,A36)</f>
        <v>979750</v>
      </c>
      <c r="Y36">
        <f>SUMIFS(Detalle_OT!$H$2:$H$592,Detalle_OT!$B$2:$B$592,A36,Detalle_OT!$C$2:$C$592,"Repuesto")</f>
        <v>260070</v>
      </c>
      <c r="Z36">
        <f>SUMIFS(Detalle_OT!$H$2:$H$592,Detalle_OT!$B$2:$B$592,A36,Detalle_OT!$C$2:$C$592,"Mano de Obra")</f>
        <v>370400</v>
      </c>
      <c r="AA36">
        <f t="shared" si="19"/>
        <v>349280</v>
      </c>
      <c r="AB36">
        <f t="shared" si="20"/>
        <v>0.35649910691502934</v>
      </c>
      <c r="AC36" t="str">
        <f t="shared" si="21"/>
        <v>Margen No Negativo Confirmado</v>
      </c>
      <c r="AD36" t="str">
        <f t="shared" si="22"/>
        <v>2026-06</v>
      </c>
      <c r="AE36" t="str">
        <f t="shared" si="23"/>
        <v>Semana 25</v>
      </c>
      <c r="AF36">
        <f t="shared" si="24"/>
        <v>18</v>
      </c>
      <c r="AG36">
        <f t="shared" si="25"/>
        <v>1</v>
      </c>
      <c r="AH36">
        <f>IF(AND(G36="",OR(I36="En Curso",I36="Reprogramada"),F36&lt;Dashboard!$B$5),1,0)</f>
        <v>0</v>
      </c>
      <c r="AI36">
        <f t="shared" si="26"/>
        <v>0</v>
      </c>
      <c r="AJ36">
        <f t="shared" si="27"/>
        <v>0</v>
      </c>
      <c r="AK36">
        <f>IF(SUMIFS(Detalle_OT!$J$2:$J$592,Detalle_OT!$B$2:$B$592,A36)&gt;0,1,0)</f>
        <v>0</v>
      </c>
      <c r="AL36">
        <f>IF(AND(OR(Dashboard!$D$5="Todos",AD36=Dashboard!$D$5),OR(Dashboard!$F$5="Todos",D36=Dashboard!$F$5),OR(Dashboard!$H$5="Todos",I36=Dashboard!$H$5)),1,0)</f>
        <v>1</v>
      </c>
      <c r="AM36">
        <f>IF(AND(OR(Control_Mandante!$C$4="Todos", AD36=Control_Mandante!$C$4), OR(Control_Mandante!$F$4="Todos", B36=Control_Mandante!$F$4), OR(Control_Mandante!$I$4="Todos", W36=Control_Mandante!$I$4), OR(Control_Mandante!$L$4="Todos", H36=Control_Mandante!$L$4)), 1, 0)</f>
        <v>1</v>
      </c>
      <c r="AN36" t="str">
        <f>IF(AH36=1, COUNTIF(AH$2:AH36, 1), "")</f>
        <v/>
      </c>
      <c r="AO36" t="str">
        <f>IF(AJ36=1, COUNTIF(AJ$2:AJ36, 1), "")</f>
        <v/>
      </c>
      <c r="AP36" t="str">
        <f>IF(AK36=1, COUNTIF(AK$2:AK36, 1), "")</f>
        <v/>
      </c>
    </row>
    <row r="37" spans="1:42" x14ac:dyDescent="0.25">
      <c r="A37" t="s">
        <v>455</v>
      </c>
      <c r="B37" t="s">
        <v>155</v>
      </c>
      <c r="C37" t="s">
        <v>456</v>
      </c>
      <c r="D37" t="s">
        <v>301</v>
      </c>
      <c r="E37" s="43">
        <v>46189</v>
      </c>
      <c r="F37" s="43">
        <v>46196</v>
      </c>
      <c r="G37" s="43">
        <v>46197</v>
      </c>
      <c r="H37" t="s">
        <v>215</v>
      </c>
      <c r="I37" t="s">
        <v>290</v>
      </c>
      <c r="J37" t="s">
        <v>457</v>
      </c>
      <c r="K37" s="43">
        <v>46189</v>
      </c>
      <c r="L37">
        <f t="shared" si="16"/>
        <v>390620</v>
      </c>
      <c r="M37" t="s">
        <v>279</v>
      </c>
      <c r="P37">
        <v>0</v>
      </c>
      <c r="Q37" t="s">
        <v>458</v>
      </c>
      <c r="T37">
        <v>0</v>
      </c>
      <c r="U37">
        <v>0</v>
      </c>
      <c r="V37">
        <f t="shared" si="17"/>
        <v>0</v>
      </c>
      <c r="W37" t="str">
        <f t="shared" si="18"/>
        <v>Falta OC Mandante</v>
      </c>
      <c r="X37">
        <f>SUMIFS(Detalle_OT!$I$2:$I$592,Detalle_OT!$B$2:$B$592,A37)</f>
        <v>390620</v>
      </c>
      <c r="Y37">
        <f>SUMIFS(Detalle_OT!$H$2:$H$592,Detalle_OT!$B$2:$B$592,A37,Detalle_OT!$C$2:$C$592,"Repuesto")</f>
        <v>384680</v>
      </c>
      <c r="Z37">
        <f>SUMIFS(Detalle_OT!$H$2:$H$592,Detalle_OT!$B$2:$B$592,A37,Detalle_OT!$C$2:$C$592,"Mano de Obra")</f>
        <v>188200</v>
      </c>
      <c r="AA37">
        <f t="shared" si="19"/>
        <v>-182260</v>
      </c>
      <c r="AB37">
        <f t="shared" si="20"/>
        <v>-0.46659157237212634</v>
      </c>
      <c r="AC37" t="str">
        <f t="shared" si="21"/>
        <v>Margen Negativo Confirmado</v>
      </c>
      <c r="AD37" t="str">
        <f t="shared" si="22"/>
        <v>2026-06</v>
      </c>
      <c r="AE37" t="str">
        <f t="shared" si="23"/>
        <v>Semana 25</v>
      </c>
      <c r="AF37">
        <f t="shared" si="24"/>
        <v>8</v>
      </c>
      <c r="AG37">
        <f t="shared" si="25"/>
        <v>0</v>
      </c>
      <c r="AH37">
        <f>IF(AND(G37="",OR(I37="En Curso",I37="Reprogramada"),F37&lt;Dashboard!$B$5),1,0)</f>
        <v>0</v>
      </c>
      <c r="AI37">
        <f t="shared" si="26"/>
        <v>1</v>
      </c>
      <c r="AJ37">
        <f t="shared" si="27"/>
        <v>1</v>
      </c>
      <c r="AK37">
        <f>IF(SUMIFS(Detalle_OT!$J$2:$J$592,Detalle_OT!$B$2:$B$592,A37)&gt;0,1,0)</f>
        <v>0</v>
      </c>
      <c r="AL37">
        <f>IF(AND(OR(Dashboard!$D$5="Todos",AD37=Dashboard!$D$5),OR(Dashboard!$F$5="Todos",D37=Dashboard!$F$5),OR(Dashboard!$H$5="Todos",I37=Dashboard!$H$5)),1,0)</f>
        <v>1</v>
      </c>
      <c r="AM37">
        <f>IF(AND(OR(Control_Mandante!$C$4="Todos", AD37=Control_Mandante!$C$4), OR(Control_Mandante!$F$4="Todos", B37=Control_Mandante!$F$4), OR(Control_Mandante!$I$4="Todos", W37=Control_Mandante!$I$4), OR(Control_Mandante!$L$4="Todos", H37=Control_Mandante!$L$4)), 1, 0)</f>
        <v>1</v>
      </c>
      <c r="AN37" t="str">
        <f>IF(AH37=1, COUNTIF(AH$2:AH37, 1), "")</f>
        <v/>
      </c>
      <c r="AO37">
        <f>IF(AJ37=1, COUNTIF(AJ$2:AJ37, 1), "")</f>
        <v>2</v>
      </c>
      <c r="AP37" t="str">
        <f>IF(AK37=1, COUNTIF(AK$2:AK37, 1), "")</f>
        <v/>
      </c>
    </row>
    <row r="38" spans="1:42" x14ac:dyDescent="0.25">
      <c r="A38" t="s">
        <v>459</v>
      </c>
      <c r="B38" t="s">
        <v>196</v>
      </c>
      <c r="C38" t="s">
        <v>460</v>
      </c>
      <c r="D38" t="s">
        <v>276</v>
      </c>
      <c r="E38" s="43">
        <v>46191</v>
      </c>
      <c r="F38" s="43">
        <v>46193</v>
      </c>
      <c r="G38" s="43">
        <v>46197</v>
      </c>
      <c r="H38" t="s">
        <v>218</v>
      </c>
      <c r="I38" t="s">
        <v>277</v>
      </c>
      <c r="J38" t="s">
        <v>461</v>
      </c>
      <c r="K38" s="43">
        <v>46191</v>
      </c>
      <c r="L38">
        <f t="shared" si="16"/>
        <v>252580</v>
      </c>
      <c r="M38" t="s">
        <v>279</v>
      </c>
      <c r="N38" t="s">
        <v>462</v>
      </c>
      <c r="O38" s="43">
        <v>46192</v>
      </c>
      <c r="P38">
        <f>X38</f>
        <v>252580</v>
      </c>
      <c r="Q38" t="s">
        <v>281</v>
      </c>
      <c r="R38" t="s">
        <v>463</v>
      </c>
      <c r="S38" s="43">
        <v>46199</v>
      </c>
      <c r="T38">
        <f t="shared" ref="T38:T45" si="28">X38</f>
        <v>252580</v>
      </c>
      <c r="U38">
        <f>T38</f>
        <v>252580</v>
      </c>
      <c r="V38">
        <f t="shared" si="17"/>
        <v>0</v>
      </c>
      <c r="W38" t="str">
        <f t="shared" si="18"/>
        <v>CUADRADO (3-WAY OK)</v>
      </c>
      <c r="X38">
        <f>SUMIFS(Detalle_OT!$I$2:$I$592,Detalle_OT!$B$2:$B$592,A38)</f>
        <v>252580</v>
      </c>
      <c r="Y38">
        <f>SUMIFS(Detalle_OT!$H$2:$H$592,Detalle_OT!$B$2:$B$592,A38,Detalle_OT!$C$2:$C$592,"Repuesto")</f>
        <v>28380</v>
      </c>
      <c r="Z38">
        <f>SUMIFS(Detalle_OT!$H$2:$H$592,Detalle_OT!$B$2:$B$592,A38,Detalle_OT!$C$2:$C$592,"Mano de Obra")</f>
        <v>119300</v>
      </c>
      <c r="AA38">
        <f t="shared" si="19"/>
        <v>104900</v>
      </c>
      <c r="AB38">
        <f t="shared" si="20"/>
        <v>0.41531395993348641</v>
      </c>
      <c r="AC38" t="str">
        <f t="shared" si="21"/>
        <v>Margen No Negativo Confirmado</v>
      </c>
      <c r="AD38" t="str">
        <f t="shared" si="22"/>
        <v>2026-06</v>
      </c>
      <c r="AE38" t="str">
        <f t="shared" si="23"/>
        <v>Semana 25</v>
      </c>
      <c r="AF38">
        <f t="shared" si="24"/>
        <v>6</v>
      </c>
      <c r="AG38">
        <f t="shared" si="25"/>
        <v>0</v>
      </c>
      <c r="AH38">
        <f>IF(AND(G38="",OR(I38="En Curso",I38="Reprogramada"),F38&lt;Dashboard!$B$5),1,0)</f>
        <v>0</v>
      </c>
      <c r="AI38">
        <f t="shared" si="26"/>
        <v>0</v>
      </c>
      <c r="AJ38">
        <f t="shared" si="27"/>
        <v>0</v>
      </c>
      <c r="AK38">
        <f>IF(SUMIFS(Detalle_OT!$J$2:$J$592,Detalle_OT!$B$2:$B$592,A38)&gt;0,1,0)</f>
        <v>0</v>
      </c>
      <c r="AL38">
        <f>IF(AND(OR(Dashboard!$D$5="Todos",AD38=Dashboard!$D$5),OR(Dashboard!$F$5="Todos",D38=Dashboard!$F$5),OR(Dashboard!$H$5="Todos",I38=Dashboard!$H$5)),1,0)</f>
        <v>1</v>
      </c>
      <c r="AM38">
        <f>IF(AND(OR(Control_Mandante!$C$4="Todos", AD38=Control_Mandante!$C$4), OR(Control_Mandante!$F$4="Todos", B38=Control_Mandante!$F$4), OR(Control_Mandante!$I$4="Todos", W38=Control_Mandante!$I$4), OR(Control_Mandante!$L$4="Todos", H38=Control_Mandante!$L$4)), 1, 0)</f>
        <v>1</v>
      </c>
      <c r="AN38" t="str">
        <f>IF(AH38=1, COUNTIF(AH$2:AH38, 1), "")</f>
        <v/>
      </c>
      <c r="AO38" t="str">
        <f>IF(AJ38=1, COUNTIF(AJ$2:AJ38, 1), "")</f>
        <v/>
      </c>
      <c r="AP38" t="str">
        <f>IF(AK38=1, COUNTIF(AK$2:AK38, 1), "")</f>
        <v/>
      </c>
    </row>
    <row r="39" spans="1:42" x14ac:dyDescent="0.25">
      <c r="A39" t="s">
        <v>464</v>
      </c>
      <c r="B39" t="s">
        <v>168</v>
      </c>
      <c r="C39" t="s">
        <v>465</v>
      </c>
      <c r="D39" t="s">
        <v>295</v>
      </c>
      <c r="E39" s="43">
        <v>46191</v>
      </c>
      <c r="F39" s="43">
        <v>46200</v>
      </c>
      <c r="G39" s="43">
        <v>46198</v>
      </c>
      <c r="H39" t="s">
        <v>227</v>
      </c>
      <c r="I39" t="s">
        <v>277</v>
      </c>
      <c r="J39" t="s">
        <v>466</v>
      </c>
      <c r="K39" s="43">
        <v>46191</v>
      </c>
      <c r="L39">
        <f t="shared" si="16"/>
        <v>1103510</v>
      </c>
      <c r="M39" t="s">
        <v>279</v>
      </c>
      <c r="N39" t="s">
        <v>467</v>
      </c>
      <c r="O39" s="43">
        <v>46192</v>
      </c>
      <c r="P39">
        <f>X39</f>
        <v>1103510</v>
      </c>
      <c r="Q39" t="s">
        <v>281</v>
      </c>
      <c r="R39" t="s">
        <v>468</v>
      </c>
      <c r="S39" s="43">
        <v>46200</v>
      </c>
      <c r="T39">
        <f t="shared" si="28"/>
        <v>1103510</v>
      </c>
      <c r="U39">
        <f>T39</f>
        <v>1103510</v>
      </c>
      <c r="V39">
        <f t="shared" si="17"/>
        <v>0</v>
      </c>
      <c r="W39" t="str">
        <f t="shared" si="18"/>
        <v>CUADRADO (3-WAY OK)</v>
      </c>
      <c r="X39">
        <f>SUMIFS(Detalle_OT!$I$2:$I$592,Detalle_OT!$B$2:$B$592,A39)</f>
        <v>1103510</v>
      </c>
      <c r="Y39">
        <f>SUMIFS(Detalle_OT!$H$2:$H$592,Detalle_OT!$B$2:$B$592,A39,Detalle_OT!$C$2:$C$592,"Repuesto")</f>
        <v>462940</v>
      </c>
      <c r="Z39">
        <f>SUMIFS(Detalle_OT!$H$2:$H$592,Detalle_OT!$B$2:$B$592,A39,Detalle_OT!$C$2:$C$592,"Mano de Obra")</f>
        <v>255000</v>
      </c>
      <c r="AA39">
        <f t="shared" si="19"/>
        <v>385570</v>
      </c>
      <c r="AB39">
        <f t="shared" si="20"/>
        <v>0.34940326775470998</v>
      </c>
      <c r="AC39" t="str">
        <f t="shared" si="21"/>
        <v>Margen No Negativo Confirmado</v>
      </c>
      <c r="AD39" t="str">
        <f t="shared" si="22"/>
        <v>2026-06</v>
      </c>
      <c r="AE39" t="str">
        <f t="shared" si="23"/>
        <v>Semana 25</v>
      </c>
      <c r="AF39">
        <f t="shared" si="24"/>
        <v>7</v>
      </c>
      <c r="AG39">
        <f t="shared" si="25"/>
        <v>1</v>
      </c>
      <c r="AH39">
        <f>IF(AND(G39="",OR(I39="En Curso",I39="Reprogramada"),F39&lt;Dashboard!$B$5),1,0)</f>
        <v>0</v>
      </c>
      <c r="AI39">
        <f t="shared" si="26"/>
        <v>0</v>
      </c>
      <c r="AJ39">
        <f t="shared" si="27"/>
        <v>0</v>
      </c>
      <c r="AK39">
        <f>IF(SUMIFS(Detalle_OT!$J$2:$J$592,Detalle_OT!$B$2:$B$592,A39)&gt;0,1,0)</f>
        <v>0</v>
      </c>
      <c r="AL39">
        <f>IF(AND(OR(Dashboard!$D$5="Todos",AD39=Dashboard!$D$5),OR(Dashboard!$F$5="Todos",D39=Dashboard!$F$5),OR(Dashboard!$H$5="Todos",I39=Dashboard!$H$5)),1,0)</f>
        <v>1</v>
      </c>
      <c r="AM39">
        <f>IF(AND(OR(Control_Mandante!$C$4="Todos", AD39=Control_Mandante!$C$4), OR(Control_Mandante!$F$4="Todos", B39=Control_Mandante!$F$4), OR(Control_Mandante!$I$4="Todos", W39=Control_Mandante!$I$4), OR(Control_Mandante!$L$4="Todos", H39=Control_Mandante!$L$4)), 1, 0)</f>
        <v>1</v>
      </c>
      <c r="AN39" t="str">
        <f>IF(AH39=1, COUNTIF(AH$2:AH39, 1), "")</f>
        <v/>
      </c>
      <c r="AO39" t="str">
        <f>IF(AJ39=1, COUNTIF(AJ$2:AJ39, 1), "")</f>
        <v/>
      </c>
      <c r="AP39" t="str">
        <f>IF(AK39=1, COUNTIF(AK$2:AK39, 1), "")</f>
        <v/>
      </c>
    </row>
    <row r="40" spans="1:42" x14ac:dyDescent="0.25">
      <c r="A40" t="s">
        <v>469</v>
      </c>
      <c r="B40" t="s">
        <v>193</v>
      </c>
      <c r="C40" t="s">
        <v>470</v>
      </c>
      <c r="D40" t="s">
        <v>301</v>
      </c>
      <c r="E40" s="43">
        <v>46193</v>
      </c>
      <c r="F40" s="43">
        <v>46198</v>
      </c>
      <c r="G40" s="43">
        <v>46197</v>
      </c>
      <c r="H40" t="s">
        <v>220</v>
      </c>
      <c r="I40" t="s">
        <v>277</v>
      </c>
      <c r="J40" t="s">
        <v>471</v>
      </c>
      <c r="K40" s="43">
        <v>46193</v>
      </c>
      <c r="L40">
        <f t="shared" si="16"/>
        <v>741970</v>
      </c>
      <c r="M40" t="s">
        <v>279</v>
      </c>
      <c r="N40" t="s">
        <v>472</v>
      </c>
      <c r="O40" s="43">
        <v>46194</v>
      </c>
      <c r="P40">
        <f>X40</f>
        <v>741970</v>
      </c>
      <c r="Q40" t="s">
        <v>281</v>
      </c>
      <c r="R40" t="s">
        <v>473</v>
      </c>
      <c r="S40" s="43">
        <v>46199</v>
      </c>
      <c r="T40">
        <f t="shared" si="28"/>
        <v>741970</v>
      </c>
      <c r="U40">
        <f>T40*0.5</f>
        <v>370985</v>
      </c>
      <c r="V40">
        <f t="shared" si="17"/>
        <v>370985</v>
      </c>
      <c r="W40" t="str">
        <f t="shared" si="18"/>
        <v>CUADRADO (3-WAY OK)</v>
      </c>
      <c r="X40">
        <f>SUMIFS(Detalle_OT!$I$2:$I$592,Detalle_OT!$B$2:$B$592,A40)</f>
        <v>741970</v>
      </c>
      <c r="Y40">
        <f>SUMIFS(Detalle_OT!$H$2:$H$592,Detalle_OT!$B$2:$B$592,A40,Detalle_OT!$C$2:$C$592,"Repuesto")</f>
        <v>167480</v>
      </c>
      <c r="Z40">
        <f>SUMIFS(Detalle_OT!$H$2:$H$592,Detalle_OT!$B$2:$B$592,A40,Detalle_OT!$C$2:$C$592,"Mano de Obra")</f>
        <v>259000</v>
      </c>
      <c r="AA40">
        <f t="shared" si="19"/>
        <v>315490</v>
      </c>
      <c r="AB40">
        <f t="shared" si="20"/>
        <v>0.42520587085731232</v>
      </c>
      <c r="AC40" t="str">
        <f t="shared" si="21"/>
        <v>Margen No Negativo Confirmado</v>
      </c>
      <c r="AD40" t="str">
        <f t="shared" si="22"/>
        <v>2026-06</v>
      </c>
      <c r="AE40" t="str">
        <f t="shared" si="23"/>
        <v>Semana 25</v>
      </c>
      <c r="AF40">
        <f t="shared" si="24"/>
        <v>4</v>
      </c>
      <c r="AG40">
        <f t="shared" si="25"/>
        <v>1</v>
      </c>
      <c r="AH40">
        <f>IF(AND(G40="",OR(I40="En Curso",I40="Reprogramada"),F40&lt;Dashboard!$B$5),1,0)</f>
        <v>0</v>
      </c>
      <c r="AI40">
        <f t="shared" si="26"/>
        <v>0</v>
      </c>
      <c r="AJ40">
        <f t="shared" si="27"/>
        <v>0</v>
      </c>
      <c r="AK40">
        <f>IF(SUMIFS(Detalle_OT!$J$2:$J$592,Detalle_OT!$B$2:$B$592,A40)&gt;0,1,0)</f>
        <v>0</v>
      </c>
      <c r="AL40">
        <f>IF(AND(OR(Dashboard!$D$5="Todos",AD40=Dashboard!$D$5),OR(Dashboard!$F$5="Todos",D40=Dashboard!$F$5),OR(Dashboard!$H$5="Todos",I40=Dashboard!$H$5)),1,0)</f>
        <v>1</v>
      </c>
      <c r="AM40">
        <f>IF(AND(OR(Control_Mandante!$C$4="Todos", AD40=Control_Mandante!$C$4), OR(Control_Mandante!$F$4="Todos", B40=Control_Mandante!$F$4), OR(Control_Mandante!$I$4="Todos", W40=Control_Mandante!$I$4), OR(Control_Mandante!$L$4="Todos", H40=Control_Mandante!$L$4)), 1, 0)</f>
        <v>1</v>
      </c>
      <c r="AN40" t="str">
        <f>IF(AH40=1, COUNTIF(AH$2:AH40, 1), "")</f>
        <v/>
      </c>
      <c r="AO40" t="str">
        <f>IF(AJ40=1, COUNTIF(AJ$2:AJ40, 1), "")</f>
        <v/>
      </c>
      <c r="AP40" t="str">
        <f>IF(AK40=1, COUNTIF(AK$2:AK40, 1), "")</f>
        <v/>
      </c>
    </row>
    <row r="41" spans="1:42" x14ac:dyDescent="0.25">
      <c r="A41" t="s">
        <v>474</v>
      </c>
      <c r="B41" t="s">
        <v>193</v>
      </c>
      <c r="C41" t="s">
        <v>475</v>
      </c>
      <c r="D41" t="s">
        <v>295</v>
      </c>
      <c r="E41" s="43">
        <v>46193</v>
      </c>
      <c r="F41" s="43">
        <v>46205</v>
      </c>
      <c r="G41" s="43">
        <v>46206</v>
      </c>
      <c r="H41" t="s">
        <v>227</v>
      </c>
      <c r="I41" t="s">
        <v>277</v>
      </c>
      <c r="J41" t="s">
        <v>476</v>
      </c>
      <c r="K41" s="43">
        <v>46193</v>
      </c>
      <c r="L41">
        <f t="shared" si="16"/>
        <v>526240</v>
      </c>
      <c r="M41" t="s">
        <v>279</v>
      </c>
      <c r="N41" t="s">
        <v>477</v>
      </c>
      <c r="O41" s="43">
        <v>46194</v>
      </c>
      <c r="P41">
        <f>X41</f>
        <v>526240</v>
      </c>
      <c r="Q41" t="s">
        <v>281</v>
      </c>
      <c r="R41" t="s">
        <v>478</v>
      </c>
      <c r="S41" s="43">
        <v>46208</v>
      </c>
      <c r="T41">
        <f t="shared" si="28"/>
        <v>526240</v>
      </c>
      <c r="U41">
        <f>T41</f>
        <v>526240</v>
      </c>
      <c r="V41">
        <f t="shared" si="17"/>
        <v>0</v>
      </c>
      <c r="W41" t="str">
        <f t="shared" si="18"/>
        <v>CUADRADO (3-WAY OK)</v>
      </c>
      <c r="X41">
        <f>SUMIFS(Detalle_OT!$I$2:$I$592,Detalle_OT!$B$2:$B$592,A41)</f>
        <v>526240</v>
      </c>
      <c r="Y41">
        <f>SUMIFS(Detalle_OT!$H$2:$H$592,Detalle_OT!$B$2:$B$592,A41,Detalle_OT!$C$2:$C$592,"Repuesto")</f>
        <v>131670</v>
      </c>
      <c r="Z41">
        <f>SUMIFS(Detalle_OT!$H$2:$H$592,Detalle_OT!$B$2:$B$592,A41,Detalle_OT!$C$2:$C$592,"Mano de Obra")</f>
        <v>210000</v>
      </c>
      <c r="AA41">
        <f t="shared" si="19"/>
        <v>184570</v>
      </c>
      <c r="AB41">
        <f t="shared" si="20"/>
        <v>0.35073350562480998</v>
      </c>
      <c r="AC41" t="str">
        <f t="shared" si="21"/>
        <v>Margen No Negativo Confirmado</v>
      </c>
      <c r="AD41" t="str">
        <f t="shared" si="22"/>
        <v>2026-06</v>
      </c>
      <c r="AE41" t="str">
        <f t="shared" si="23"/>
        <v>Semana 25</v>
      </c>
      <c r="AF41">
        <f t="shared" si="24"/>
        <v>13</v>
      </c>
      <c r="AG41">
        <f t="shared" si="25"/>
        <v>0</v>
      </c>
      <c r="AH41">
        <f>IF(AND(G41="",OR(I41="En Curso",I41="Reprogramada"),F41&lt;Dashboard!$B$5),1,0)</f>
        <v>0</v>
      </c>
      <c r="AI41">
        <f t="shared" si="26"/>
        <v>0</v>
      </c>
      <c r="AJ41">
        <f t="shared" si="27"/>
        <v>0</v>
      </c>
      <c r="AK41">
        <f>IF(SUMIFS(Detalle_OT!$J$2:$J$592,Detalle_OT!$B$2:$B$592,A41)&gt;0,1,0)</f>
        <v>0</v>
      </c>
      <c r="AL41">
        <f>IF(AND(OR(Dashboard!$D$5="Todos",AD41=Dashboard!$D$5),OR(Dashboard!$F$5="Todos",D41=Dashboard!$F$5),OR(Dashboard!$H$5="Todos",I41=Dashboard!$H$5)),1,0)</f>
        <v>1</v>
      </c>
      <c r="AM41">
        <f>IF(AND(OR(Control_Mandante!$C$4="Todos", AD41=Control_Mandante!$C$4), OR(Control_Mandante!$F$4="Todos", B41=Control_Mandante!$F$4), OR(Control_Mandante!$I$4="Todos", W41=Control_Mandante!$I$4), OR(Control_Mandante!$L$4="Todos", H41=Control_Mandante!$L$4)), 1, 0)</f>
        <v>1</v>
      </c>
      <c r="AN41" t="str">
        <f>IF(AH41=1, COUNTIF(AH$2:AH41, 1), "")</f>
        <v/>
      </c>
      <c r="AO41" t="str">
        <f>IF(AJ41=1, COUNTIF(AJ$2:AJ41, 1), "")</f>
        <v/>
      </c>
      <c r="AP41" t="str">
        <f>IF(AK41=1, COUNTIF(AK$2:AK41, 1), "")</f>
        <v/>
      </c>
    </row>
    <row r="42" spans="1:42" x14ac:dyDescent="0.25">
      <c r="A42" t="s">
        <v>479</v>
      </c>
      <c r="B42" t="s">
        <v>168</v>
      </c>
      <c r="C42" t="s">
        <v>480</v>
      </c>
      <c r="D42" t="s">
        <v>301</v>
      </c>
      <c r="E42" s="43">
        <v>46194</v>
      </c>
      <c r="F42" s="43">
        <v>46200</v>
      </c>
      <c r="G42" s="43">
        <v>46202</v>
      </c>
      <c r="H42" t="s">
        <v>229</v>
      </c>
      <c r="I42" t="s">
        <v>277</v>
      </c>
      <c r="J42" t="s">
        <v>481</v>
      </c>
      <c r="K42" s="43">
        <v>46194</v>
      </c>
      <c r="L42">
        <f t="shared" si="16"/>
        <v>433040</v>
      </c>
      <c r="M42" t="s">
        <v>279</v>
      </c>
      <c r="N42" t="s">
        <v>482</v>
      </c>
      <c r="O42" s="43">
        <v>46195</v>
      </c>
      <c r="P42">
        <f>X42</f>
        <v>433040</v>
      </c>
      <c r="Q42" t="s">
        <v>281</v>
      </c>
      <c r="R42" t="s">
        <v>483</v>
      </c>
      <c r="S42" s="43">
        <v>46204</v>
      </c>
      <c r="T42">
        <f t="shared" si="28"/>
        <v>433040</v>
      </c>
      <c r="U42">
        <f>T42</f>
        <v>433040</v>
      </c>
      <c r="V42">
        <f t="shared" si="17"/>
        <v>0</v>
      </c>
      <c r="W42" t="str">
        <f t="shared" si="18"/>
        <v>CUADRADO (3-WAY OK)</v>
      </c>
      <c r="X42">
        <f>SUMIFS(Detalle_OT!$I$2:$I$592,Detalle_OT!$B$2:$B$592,A42)</f>
        <v>433040</v>
      </c>
      <c r="Y42">
        <f>SUMIFS(Detalle_OT!$H$2:$H$592,Detalle_OT!$B$2:$B$592,A42,Detalle_OT!$C$2:$C$592,"Repuesto")</f>
        <v>312520</v>
      </c>
      <c r="Z42">
        <f>SUMIFS(Detalle_OT!$H$2:$H$592,Detalle_OT!$B$2:$B$592,A42,Detalle_OT!$C$2:$C$592,"Mano de Obra")</f>
        <v>205100</v>
      </c>
      <c r="AA42">
        <f t="shared" si="19"/>
        <v>-84580</v>
      </c>
      <c r="AB42">
        <f t="shared" si="20"/>
        <v>-0.19531682985405505</v>
      </c>
      <c r="AC42" t="str">
        <f t="shared" si="21"/>
        <v>Margen Negativo Confirmado</v>
      </c>
      <c r="AD42" t="str">
        <f t="shared" si="22"/>
        <v>2026-06</v>
      </c>
      <c r="AE42" t="str">
        <f t="shared" si="23"/>
        <v>Semana 26</v>
      </c>
      <c r="AF42">
        <f t="shared" si="24"/>
        <v>8</v>
      </c>
      <c r="AG42">
        <f t="shared" si="25"/>
        <v>0</v>
      </c>
      <c r="AH42">
        <f>IF(AND(G42="",OR(I42="En Curso",I42="Reprogramada"),F42&lt;Dashboard!$B$5),1,0)</f>
        <v>0</v>
      </c>
      <c r="AI42">
        <f t="shared" si="26"/>
        <v>0</v>
      </c>
      <c r="AJ42">
        <f t="shared" si="27"/>
        <v>0</v>
      </c>
      <c r="AK42">
        <f>IF(SUMIFS(Detalle_OT!$J$2:$J$592,Detalle_OT!$B$2:$B$592,A42)&gt;0,1,0)</f>
        <v>0</v>
      </c>
      <c r="AL42">
        <f>IF(AND(OR(Dashboard!$D$5="Todos",AD42=Dashboard!$D$5),OR(Dashboard!$F$5="Todos",D42=Dashboard!$F$5),OR(Dashboard!$H$5="Todos",I42=Dashboard!$H$5)),1,0)</f>
        <v>1</v>
      </c>
      <c r="AM42">
        <f>IF(AND(OR(Control_Mandante!$C$4="Todos", AD42=Control_Mandante!$C$4), OR(Control_Mandante!$F$4="Todos", B42=Control_Mandante!$F$4), OR(Control_Mandante!$I$4="Todos", W42=Control_Mandante!$I$4), OR(Control_Mandante!$L$4="Todos", H42=Control_Mandante!$L$4)), 1, 0)</f>
        <v>1</v>
      </c>
      <c r="AN42" t="str">
        <f>IF(AH42=1, COUNTIF(AH$2:AH42, 1), "")</f>
        <v/>
      </c>
      <c r="AO42" t="str">
        <f>IF(AJ42=1, COUNTIF(AJ$2:AJ42, 1), "")</f>
        <v/>
      </c>
      <c r="AP42" t="str">
        <f>IF(AK42=1, COUNTIF(AK$2:AK42, 1), "")</f>
        <v/>
      </c>
    </row>
    <row r="43" spans="1:42" x14ac:dyDescent="0.25">
      <c r="A43" t="s">
        <v>484</v>
      </c>
      <c r="B43" t="s">
        <v>203</v>
      </c>
      <c r="C43" t="s">
        <v>485</v>
      </c>
      <c r="D43" t="s">
        <v>276</v>
      </c>
      <c r="E43" s="43">
        <v>46194</v>
      </c>
      <c r="F43" s="43">
        <v>46198</v>
      </c>
      <c r="G43" s="43">
        <v>46196</v>
      </c>
      <c r="H43" t="s">
        <v>215</v>
      </c>
      <c r="I43" t="s">
        <v>277</v>
      </c>
      <c r="J43" t="s">
        <v>486</v>
      </c>
      <c r="K43" s="43">
        <v>46194</v>
      </c>
      <c r="L43">
        <f t="shared" si="16"/>
        <v>143860</v>
      </c>
      <c r="M43" t="s">
        <v>279</v>
      </c>
      <c r="N43" t="s">
        <v>487</v>
      </c>
      <c r="O43" s="43">
        <v>46195</v>
      </c>
      <c r="P43">
        <f>X43 - 15000</f>
        <v>128860</v>
      </c>
      <c r="Q43" t="s">
        <v>281</v>
      </c>
      <c r="R43" t="s">
        <v>488</v>
      </c>
      <c r="S43" s="43">
        <v>46198</v>
      </c>
      <c r="T43">
        <f t="shared" si="28"/>
        <v>143860</v>
      </c>
      <c r="U43">
        <f>T43*0.5</f>
        <v>71930</v>
      </c>
      <c r="V43">
        <f t="shared" si="17"/>
        <v>71930</v>
      </c>
      <c r="W43" t="str">
        <f t="shared" si="18"/>
        <v>DESCUADRE DE MONTOS</v>
      </c>
      <c r="X43">
        <f>SUMIFS(Detalle_OT!$I$2:$I$592,Detalle_OT!$B$2:$B$592,A43)</f>
        <v>143860</v>
      </c>
      <c r="Y43">
        <f>SUMIFS(Detalle_OT!$H$2:$H$592,Detalle_OT!$B$2:$B$592,A43,Detalle_OT!$C$2:$C$592,"Repuesto")</f>
        <v>76760</v>
      </c>
      <c r="Z43">
        <f>SUMIFS(Detalle_OT!$H$2:$H$592,Detalle_OT!$B$2:$B$592,A43,Detalle_OT!$C$2:$C$592,"Mano de Obra")</f>
        <v>22800</v>
      </c>
      <c r="AA43">
        <f t="shared" si="19"/>
        <v>44300</v>
      </c>
      <c r="AB43">
        <f t="shared" si="20"/>
        <v>0.30793827332128459</v>
      </c>
      <c r="AC43" t="str">
        <f t="shared" si="21"/>
        <v>Margen No Negativo Confirmado</v>
      </c>
      <c r="AD43" t="str">
        <f t="shared" si="22"/>
        <v>2026-06</v>
      </c>
      <c r="AE43" t="str">
        <f t="shared" si="23"/>
        <v>Semana 26</v>
      </c>
      <c r="AF43">
        <f t="shared" si="24"/>
        <v>2</v>
      </c>
      <c r="AG43">
        <f t="shared" si="25"/>
        <v>1</v>
      </c>
      <c r="AH43">
        <f>IF(AND(G43="",OR(I43="En Curso",I43="Reprogramada"),F43&lt;Dashboard!$B$5),1,0)</f>
        <v>0</v>
      </c>
      <c r="AI43">
        <f t="shared" si="26"/>
        <v>0</v>
      </c>
      <c r="AJ43">
        <f t="shared" si="27"/>
        <v>0</v>
      </c>
      <c r="AK43">
        <f>IF(SUMIFS(Detalle_OT!$J$2:$J$592,Detalle_OT!$B$2:$B$592,A43)&gt;0,1,0)</f>
        <v>0</v>
      </c>
      <c r="AL43">
        <f>IF(AND(OR(Dashboard!$D$5="Todos",AD43=Dashboard!$D$5),OR(Dashboard!$F$5="Todos",D43=Dashboard!$F$5),OR(Dashboard!$H$5="Todos",I43=Dashboard!$H$5)),1,0)</f>
        <v>1</v>
      </c>
      <c r="AM43">
        <f>IF(AND(OR(Control_Mandante!$C$4="Todos", AD43=Control_Mandante!$C$4), OR(Control_Mandante!$F$4="Todos", B43=Control_Mandante!$F$4), OR(Control_Mandante!$I$4="Todos", W43=Control_Mandante!$I$4), OR(Control_Mandante!$L$4="Todos", H43=Control_Mandante!$L$4)), 1, 0)</f>
        <v>1</v>
      </c>
      <c r="AN43" t="str">
        <f>IF(AH43=1, COUNTIF(AH$2:AH43, 1), "")</f>
        <v/>
      </c>
      <c r="AO43" t="str">
        <f>IF(AJ43=1, COUNTIF(AJ$2:AJ43, 1), "")</f>
        <v/>
      </c>
      <c r="AP43" t="str">
        <f>IF(AK43=1, COUNTIF(AK$2:AK43, 1), "")</f>
        <v/>
      </c>
    </row>
    <row r="44" spans="1:42" x14ac:dyDescent="0.25">
      <c r="A44" t="s">
        <v>489</v>
      </c>
      <c r="B44" t="s">
        <v>168</v>
      </c>
      <c r="C44" t="s">
        <v>490</v>
      </c>
      <c r="D44" t="s">
        <v>276</v>
      </c>
      <c r="E44" s="43">
        <v>46198</v>
      </c>
      <c r="F44" s="43">
        <v>46202</v>
      </c>
      <c r="G44" s="43">
        <v>46202</v>
      </c>
      <c r="H44" t="s">
        <v>215</v>
      </c>
      <c r="I44" t="s">
        <v>277</v>
      </c>
      <c r="J44" t="s">
        <v>491</v>
      </c>
      <c r="K44" s="43">
        <v>46198</v>
      </c>
      <c r="L44">
        <f t="shared" si="16"/>
        <v>735390</v>
      </c>
      <c r="M44" t="s">
        <v>279</v>
      </c>
      <c r="N44" t="s">
        <v>492</v>
      </c>
      <c r="O44" s="43">
        <v>46199</v>
      </c>
      <c r="P44">
        <f>X44</f>
        <v>735390</v>
      </c>
      <c r="Q44" t="s">
        <v>281</v>
      </c>
      <c r="R44" t="s">
        <v>493</v>
      </c>
      <c r="S44" s="43">
        <v>46204</v>
      </c>
      <c r="T44">
        <f t="shared" si="28"/>
        <v>735390</v>
      </c>
      <c r="U44">
        <f>T44</f>
        <v>735390</v>
      </c>
      <c r="V44">
        <f t="shared" si="17"/>
        <v>0</v>
      </c>
      <c r="W44" t="str">
        <f t="shared" si="18"/>
        <v>CUADRADO (3-WAY OK)</v>
      </c>
      <c r="X44">
        <f>SUMIFS(Detalle_OT!$I$2:$I$592,Detalle_OT!$B$2:$B$592,A44)</f>
        <v>735390</v>
      </c>
      <c r="Y44">
        <f>SUMIFS(Detalle_OT!$H$2:$H$592,Detalle_OT!$B$2:$B$592,A44,Detalle_OT!$C$2:$C$592,"Repuesto")</f>
        <v>426820</v>
      </c>
      <c r="Z44">
        <f>SUMIFS(Detalle_OT!$H$2:$H$592,Detalle_OT!$B$2:$B$592,A44,Detalle_OT!$C$2:$C$592,"Mano de Obra")</f>
        <v>119900</v>
      </c>
      <c r="AA44">
        <f t="shared" si="19"/>
        <v>188670</v>
      </c>
      <c r="AB44">
        <f t="shared" si="20"/>
        <v>0.25655774487006894</v>
      </c>
      <c r="AC44" t="str">
        <f t="shared" si="21"/>
        <v>Margen No Negativo Confirmado</v>
      </c>
      <c r="AD44" t="str">
        <f t="shared" si="22"/>
        <v>2026-06</v>
      </c>
      <c r="AE44" t="str">
        <f t="shared" si="23"/>
        <v>Semana 26</v>
      </c>
      <c r="AF44">
        <f t="shared" si="24"/>
        <v>4</v>
      </c>
      <c r="AG44">
        <f t="shared" si="25"/>
        <v>1</v>
      </c>
      <c r="AH44">
        <f>IF(AND(G44="",OR(I44="En Curso",I44="Reprogramada"),F44&lt;Dashboard!$B$5),1,0)</f>
        <v>0</v>
      </c>
      <c r="AI44">
        <f t="shared" si="26"/>
        <v>0</v>
      </c>
      <c r="AJ44">
        <f t="shared" si="27"/>
        <v>0</v>
      </c>
      <c r="AK44">
        <f>IF(SUMIFS(Detalle_OT!$J$2:$J$592,Detalle_OT!$B$2:$B$592,A44)&gt;0,1,0)</f>
        <v>0</v>
      </c>
      <c r="AL44">
        <f>IF(AND(OR(Dashboard!$D$5="Todos",AD44=Dashboard!$D$5),OR(Dashboard!$F$5="Todos",D44=Dashboard!$F$5),OR(Dashboard!$H$5="Todos",I44=Dashboard!$H$5)),1,0)</f>
        <v>1</v>
      </c>
      <c r="AM44">
        <f>IF(AND(OR(Control_Mandante!$C$4="Todos", AD44=Control_Mandante!$C$4), OR(Control_Mandante!$F$4="Todos", B44=Control_Mandante!$F$4), OR(Control_Mandante!$I$4="Todos", W44=Control_Mandante!$I$4), OR(Control_Mandante!$L$4="Todos", H44=Control_Mandante!$L$4)), 1, 0)</f>
        <v>1</v>
      </c>
      <c r="AN44" t="str">
        <f>IF(AH44=1, COUNTIF(AH$2:AH44, 1), "")</f>
        <v/>
      </c>
      <c r="AO44" t="str">
        <f>IF(AJ44=1, COUNTIF(AJ$2:AJ44, 1), "")</f>
        <v/>
      </c>
      <c r="AP44" t="str">
        <f>IF(AK44=1, COUNTIF(AK$2:AK44, 1), "")</f>
        <v/>
      </c>
    </row>
    <row r="45" spans="1:42" x14ac:dyDescent="0.25">
      <c r="A45" t="s">
        <v>494</v>
      </c>
      <c r="B45" t="s">
        <v>171</v>
      </c>
      <c r="C45" t="s">
        <v>495</v>
      </c>
      <c r="D45" t="s">
        <v>301</v>
      </c>
      <c r="E45" s="43">
        <v>46199</v>
      </c>
      <c r="F45" s="43">
        <v>46205</v>
      </c>
      <c r="G45" s="43">
        <v>46213</v>
      </c>
      <c r="H45" t="s">
        <v>218</v>
      </c>
      <c r="I45" t="s">
        <v>277</v>
      </c>
      <c r="J45" t="s">
        <v>496</v>
      </c>
      <c r="K45" s="43">
        <v>46199</v>
      </c>
      <c r="L45">
        <f t="shared" si="16"/>
        <v>503620</v>
      </c>
      <c r="M45" t="s">
        <v>279</v>
      </c>
      <c r="N45" t="s">
        <v>497</v>
      </c>
      <c r="O45" s="43">
        <v>46200</v>
      </c>
      <c r="P45">
        <f>X45</f>
        <v>503620</v>
      </c>
      <c r="Q45" t="s">
        <v>281</v>
      </c>
      <c r="R45" t="s">
        <v>498</v>
      </c>
      <c r="S45" s="43">
        <v>46215</v>
      </c>
      <c r="T45">
        <f t="shared" si="28"/>
        <v>503620</v>
      </c>
      <c r="U45">
        <f>T45</f>
        <v>503620</v>
      </c>
      <c r="V45">
        <f t="shared" si="17"/>
        <v>0</v>
      </c>
      <c r="W45" t="str">
        <f t="shared" si="18"/>
        <v>CUADRADO (3-WAY OK)</v>
      </c>
      <c r="X45">
        <f>SUMIFS(Detalle_OT!$I$2:$I$592,Detalle_OT!$B$2:$B$592,A45)</f>
        <v>503620</v>
      </c>
      <c r="Y45">
        <f>SUMIFS(Detalle_OT!$H$2:$H$592,Detalle_OT!$B$2:$B$592,A45,Detalle_OT!$C$2:$C$592,"Repuesto")</f>
        <v>259080</v>
      </c>
      <c r="Z45">
        <f>SUMIFS(Detalle_OT!$H$2:$H$592,Detalle_OT!$B$2:$B$592,A45,Detalle_OT!$C$2:$C$592,"Mano de Obra")</f>
        <v>81200</v>
      </c>
      <c r="AA45">
        <f t="shared" si="19"/>
        <v>163340</v>
      </c>
      <c r="AB45">
        <f t="shared" si="20"/>
        <v>0.32433183749652517</v>
      </c>
      <c r="AC45" t="str">
        <f t="shared" si="21"/>
        <v>Margen No Negativo Confirmado</v>
      </c>
      <c r="AD45" t="str">
        <f t="shared" si="22"/>
        <v>2026-06</v>
      </c>
      <c r="AE45" t="str">
        <f t="shared" si="23"/>
        <v>Semana 26</v>
      </c>
      <c r="AF45">
        <f t="shared" si="24"/>
        <v>14</v>
      </c>
      <c r="AG45">
        <f t="shared" si="25"/>
        <v>0</v>
      </c>
      <c r="AH45">
        <f>IF(AND(G45="",OR(I45="En Curso",I45="Reprogramada"),F45&lt;Dashboard!$B$5),1,0)</f>
        <v>0</v>
      </c>
      <c r="AI45">
        <f t="shared" si="26"/>
        <v>0</v>
      </c>
      <c r="AJ45">
        <f t="shared" si="27"/>
        <v>0</v>
      </c>
      <c r="AK45">
        <f>IF(SUMIFS(Detalle_OT!$J$2:$J$592,Detalle_OT!$B$2:$B$592,A45)&gt;0,1,0)</f>
        <v>0</v>
      </c>
      <c r="AL45">
        <f>IF(AND(OR(Dashboard!$D$5="Todos",AD45=Dashboard!$D$5),OR(Dashboard!$F$5="Todos",D45=Dashboard!$F$5),OR(Dashboard!$H$5="Todos",I45=Dashboard!$H$5)),1,0)</f>
        <v>1</v>
      </c>
      <c r="AM45">
        <f>IF(AND(OR(Control_Mandante!$C$4="Todos", AD45=Control_Mandante!$C$4), OR(Control_Mandante!$F$4="Todos", B45=Control_Mandante!$F$4), OR(Control_Mandante!$I$4="Todos", W45=Control_Mandante!$I$4), OR(Control_Mandante!$L$4="Todos", H45=Control_Mandante!$L$4)), 1, 0)</f>
        <v>1</v>
      </c>
      <c r="AN45" t="str">
        <f>IF(AH45=1, COUNTIF(AH$2:AH45, 1), "")</f>
        <v/>
      </c>
      <c r="AO45" t="str">
        <f>IF(AJ45=1, COUNTIF(AJ$2:AJ45, 1), "")</f>
        <v/>
      </c>
      <c r="AP45" t="str">
        <f>IF(AK45=1, COUNTIF(AK$2:AK45, 1), "")</f>
        <v/>
      </c>
    </row>
    <row r="46" spans="1:42" x14ac:dyDescent="0.25">
      <c r="A46" t="s">
        <v>499</v>
      </c>
      <c r="B46" t="s">
        <v>171</v>
      </c>
      <c r="C46" t="s">
        <v>500</v>
      </c>
      <c r="D46" t="s">
        <v>301</v>
      </c>
      <c r="E46" s="43">
        <v>46200</v>
      </c>
      <c r="F46" s="43">
        <v>46205</v>
      </c>
      <c r="G46" s="43">
        <v>46204</v>
      </c>
      <c r="H46" t="s">
        <v>220</v>
      </c>
      <c r="I46" t="s">
        <v>290</v>
      </c>
      <c r="J46" t="s">
        <v>501</v>
      </c>
      <c r="K46" s="43">
        <v>46200</v>
      </c>
      <c r="L46">
        <f t="shared" si="16"/>
        <v>908960</v>
      </c>
      <c r="M46" t="s">
        <v>279</v>
      </c>
      <c r="P46">
        <v>0</v>
      </c>
      <c r="Q46" t="s">
        <v>458</v>
      </c>
      <c r="T46">
        <v>0</v>
      </c>
      <c r="U46">
        <v>0</v>
      </c>
      <c r="V46">
        <f t="shared" si="17"/>
        <v>0</v>
      </c>
      <c r="W46" t="str">
        <f t="shared" si="18"/>
        <v>Falta OC Mandante</v>
      </c>
      <c r="X46">
        <f>SUMIFS(Detalle_OT!$I$2:$I$592,Detalle_OT!$B$2:$B$592,A46)</f>
        <v>908960</v>
      </c>
      <c r="Y46">
        <f>SUMIFS(Detalle_OT!$H$2:$H$592,Detalle_OT!$B$2:$B$592,A46,Detalle_OT!$C$2:$C$592,"Repuesto")</f>
        <v>479600</v>
      </c>
      <c r="Z46">
        <f>SUMIFS(Detalle_OT!$H$2:$H$592,Detalle_OT!$B$2:$B$592,A46,Detalle_OT!$C$2:$C$592,"Mano de Obra")</f>
        <v>112000</v>
      </c>
      <c r="AA46">
        <f t="shared" si="19"/>
        <v>317360</v>
      </c>
      <c r="AB46">
        <f t="shared" si="20"/>
        <v>0.34914627706389723</v>
      </c>
      <c r="AC46" t="str">
        <f t="shared" si="21"/>
        <v>Margen No Negativo Confirmado</v>
      </c>
      <c r="AD46" t="str">
        <f t="shared" si="22"/>
        <v>2026-06</v>
      </c>
      <c r="AE46" t="str">
        <f t="shared" si="23"/>
        <v>Semana 26</v>
      </c>
      <c r="AF46">
        <f t="shared" si="24"/>
        <v>4</v>
      </c>
      <c r="AG46">
        <f t="shared" si="25"/>
        <v>1</v>
      </c>
      <c r="AH46">
        <f>IF(AND(G46="",OR(I46="En Curso",I46="Reprogramada"),F46&lt;Dashboard!$B$5),1,0)</f>
        <v>0</v>
      </c>
      <c r="AI46">
        <f t="shared" si="26"/>
        <v>1</v>
      </c>
      <c r="AJ46">
        <f t="shared" si="27"/>
        <v>1</v>
      </c>
      <c r="AK46">
        <f>IF(SUMIFS(Detalle_OT!$J$2:$J$592,Detalle_OT!$B$2:$B$592,A46)&gt;0,1,0)</f>
        <v>0</v>
      </c>
      <c r="AL46">
        <f>IF(AND(OR(Dashboard!$D$5="Todos",AD46=Dashboard!$D$5),OR(Dashboard!$F$5="Todos",D46=Dashboard!$F$5),OR(Dashboard!$H$5="Todos",I46=Dashboard!$H$5)),1,0)</f>
        <v>1</v>
      </c>
      <c r="AM46">
        <f>IF(AND(OR(Control_Mandante!$C$4="Todos", AD46=Control_Mandante!$C$4), OR(Control_Mandante!$F$4="Todos", B46=Control_Mandante!$F$4), OR(Control_Mandante!$I$4="Todos", W46=Control_Mandante!$I$4), OR(Control_Mandante!$L$4="Todos", H46=Control_Mandante!$L$4)), 1, 0)</f>
        <v>1</v>
      </c>
      <c r="AN46" t="str">
        <f>IF(AH46=1, COUNTIF(AH$2:AH46, 1), "")</f>
        <v/>
      </c>
      <c r="AO46">
        <f>IF(AJ46=1, COUNTIF(AJ$2:AJ46, 1), "")</f>
        <v>3</v>
      </c>
      <c r="AP46" t="str">
        <f>IF(AK46=1, COUNTIF(AK$2:AK46, 1), "")</f>
        <v/>
      </c>
    </row>
    <row r="47" spans="1:42" x14ac:dyDescent="0.25">
      <c r="A47" t="s">
        <v>502</v>
      </c>
      <c r="B47" t="s">
        <v>209</v>
      </c>
      <c r="C47" t="s">
        <v>503</v>
      </c>
      <c r="D47" t="s">
        <v>301</v>
      </c>
      <c r="E47" s="43">
        <v>46201</v>
      </c>
      <c r="F47" s="43">
        <v>46205</v>
      </c>
      <c r="G47" s="43">
        <v>46203</v>
      </c>
      <c r="H47" t="s">
        <v>229</v>
      </c>
      <c r="I47" t="s">
        <v>277</v>
      </c>
      <c r="J47" t="s">
        <v>504</v>
      </c>
      <c r="K47" s="43">
        <v>46201</v>
      </c>
      <c r="L47">
        <f t="shared" si="16"/>
        <v>1095210</v>
      </c>
      <c r="M47" t="s">
        <v>279</v>
      </c>
      <c r="N47" t="s">
        <v>505</v>
      </c>
      <c r="O47" s="43">
        <v>46202</v>
      </c>
      <c r="P47">
        <f t="shared" ref="P47:P54" si="29">X47</f>
        <v>1095210</v>
      </c>
      <c r="Q47" t="s">
        <v>281</v>
      </c>
      <c r="R47" t="s">
        <v>506</v>
      </c>
      <c r="S47" s="43">
        <v>46205</v>
      </c>
      <c r="T47">
        <f t="shared" ref="T47:T54" si="30">X47</f>
        <v>1095210</v>
      </c>
      <c r="U47">
        <f>T47</f>
        <v>1095210</v>
      </c>
      <c r="V47">
        <f t="shared" si="17"/>
        <v>0</v>
      </c>
      <c r="W47" t="str">
        <f t="shared" si="18"/>
        <v>CUADRADO (3-WAY OK)</v>
      </c>
      <c r="X47">
        <f>SUMIFS(Detalle_OT!$I$2:$I$592,Detalle_OT!$B$2:$B$592,A47)</f>
        <v>1095210</v>
      </c>
      <c r="Y47">
        <f>SUMIFS(Detalle_OT!$H$2:$H$592,Detalle_OT!$B$2:$B$592,A47,Detalle_OT!$C$2:$C$592,"Repuesto")</f>
        <v>337150</v>
      </c>
      <c r="Z47">
        <f>SUMIFS(Detalle_OT!$H$2:$H$592,Detalle_OT!$B$2:$B$592,A47,Detalle_OT!$C$2:$C$592,"Mano de Obra")</f>
        <v>340600</v>
      </c>
      <c r="AA47">
        <f t="shared" si="19"/>
        <v>417460</v>
      </c>
      <c r="AB47">
        <f t="shared" si="20"/>
        <v>0.38116890824590716</v>
      </c>
      <c r="AC47" t="str">
        <f t="shared" si="21"/>
        <v>Margen No Negativo Confirmado</v>
      </c>
      <c r="AD47" t="str">
        <f t="shared" si="22"/>
        <v>2026-06</v>
      </c>
      <c r="AE47" t="str">
        <f t="shared" si="23"/>
        <v>Semana 27</v>
      </c>
      <c r="AF47">
        <f t="shared" si="24"/>
        <v>2</v>
      </c>
      <c r="AG47">
        <f t="shared" si="25"/>
        <v>1</v>
      </c>
      <c r="AH47">
        <f>IF(AND(G47="",OR(I47="En Curso",I47="Reprogramada"),F47&lt;Dashboard!$B$5),1,0)</f>
        <v>0</v>
      </c>
      <c r="AI47">
        <f t="shared" si="26"/>
        <v>0</v>
      </c>
      <c r="AJ47">
        <f t="shared" si="27"/>
        <v>0</v>
      </c>
      <c r="AK47">
        <f>IF(SUMIFS(Detalle_OT!$J$2:$J$592,Detalle_OT!$B$2:$B$592,A47)&gt;0,1,0)</f>
        <v>0</v>
      </c>
      <c r="AL47">
        <f>IF(AND(OR(Dashboard!$D$5="Todos",AD47=Dashboard!$D$5),OR(Dashboard!$F$5="Todos",D47=Dashboard!$F$5),OR(Dashboard!$H$5="Todos",I47=Dashboard!$H$5)),1,0)</f>
        <v>1</v>
      </c>
      <c r="AM47">
        <f>IF(AND(OR(Control_Mandante!$C$4="Todos", AD47=Control_Mandante!$C$4), OR(Control_Mandante!$F$4="Todos", B47=Control_Mandante!$F$4), OR(Control_Mandante!$I$4="Todos", W47=Control_Mandante!$I$4), OR(Control_Mandante!$L$4="Todos", H47=Control_Mandante!$L$4)), 1, 0)</f>
        <v>1</v>
      </c>
      <c r="AN47" t="str">
        <f>IF(AH47=1, COUNTIF(AH$2:AH47, 1), "")</f>
        <v/>
      </c>
      <c r="AO47" t="str">
        <f>IF(AJ47=1, COUNTIF(AJ$2:AJ47, 1), "")</f>
        <v/>
      </c>
      <c r="AP47" t="str">
        <f>IF(AK47=1, COUNTIF(AK$2:AK47, 1), "")</f>
        <v/>
      </c>
    </row>
    <row r="48" spans="1:42" x14ac:dyDescent="0.25">
      <c r="A48" t="s">
        <v>507</v>
      </c>
      <c r="B48" t="s">
        <v>206</v>
      </c>
      <c r="C48" t="s">
        <v>508</v>
      </c>
      <c r="D48" t="s">
        <v>295</v>
      </c>
      <c r="E48" s="43">
        <v>46201</v>
      </c>
      <c r="F48" s="43">
        <v>46221</v>
      </c>
      <c r="G48" s="43">
        <v>46220</v>
      </c>
      <c r="H48" t="s">
        <v>227</v>
      </c>
      <c r="I48" t="s">
        <v>277</v>
      </c>
      <c r="J48" t="s">
        <v>509</v>
      </c>
      <c r="K48" s="43">
        <v>46201</v>
      </c>
      <c r="L48">
        <f t="shared" si="16"/>
        <v>489220</v>
      </c>
      <c r="M48" t="s">
        <v>279</v>
      </c>
      <c r="N48" t="s">
        <v>510</v>
      </c>
      <c r="O48" s="43">
        <v>46202</v>
      </c>
      <c r="P48">
        <f t="shared" si="29"/>
        <v>489220</v>
      </c>
      <c r="Q48" t="s">
        <v>281</v>
      </c>
      <c r="R48" t="s">
        <v>511</v>
      </c>
      <c r="S48" s="43">
        <v>46222</v>
      </c>
      <c r="T48">
        <f t="shared" si="30"/>
        <v>489220</v>
      </c>
      <c r="U48">
        <f>T48</f>
        <v>489220</v>
      </c>
      <c r="V48">
        <f t="shared" si="17"/>
        <v>0</v>
      </c>
      <c r="W48" t="str">
        <f t="shared" si="18"/>
        <v>CUADRADO (3-WAY OK)</v>
      </c>
      <c r="X48">
        <f>SUMIFS(Detalle_OT!$I$2:$I$592,Detalle_OT!$B$2:$B$592,A48)</f>
        <v>489220</v>
      </c>
      <c r="Y48">
        <f>SUMIFS(Detalle_OT!$H$2:$H$592,Detalle_OT!$B$2:$B$592,A48,Detalle_OT!$C$2:$C$592,"Repuesto")</f>
        <v>40820</v>
      </c>
      <c r="Z48">
        <f>SUMIFS(Detalle_OT!$H$2:$H$592,Detalle_OT!$B$2:$B$592,A48,Detalle_OT!$C$2:$C$592,"Mano de Obra")</f>
        <v>219300</v>
      </c>
      <c r="AA48">
        <f t="shared" si="19"/>
        <v>229100</v>
      </c>
      <c r="AB48">
        <f t="shared" si="20"/>
        <v>0.4682964719349168</v>
      </c>
      <c r="AC48" t="str">
        <f t="shared" si="21"/>
        <v>Margen No Negativo Confirmado</v>
      </c>
      <c r="AD48" t="str">
        <f t="shared" si="22"/>
        <v>2026-06</v>
      </c>
      <c r="AE48" t="str">
        <f t="shared" si="23"/>
        <v>Semana 27</v>
      </c>
      <c r="AF48">
        <f t="shared" si="24"/>
        <v>19</v>
      </c>
      <c r="AG48">
        <f t="shared" si="25"/>
        <v>1</v>
      </c>
      <c r="AH48">
        <f>IF(AND(G48="",OR(I48="En Curso",I48="Reprogramada"),F48&lt;Dashboard!$B$5),1,0)</f>
        <v>0</v>
      </c>
      <c r="AI48">
        <f t="shared" si="26"/>
        <v>0</v>
      </c>
      <c r="AJ48">
        <f t="shared" si="27"/>
        <v>0</v>
      </c>
      <c r="AK48">
        <f>IF(SUMIFS(Detalle_OT!$J$2:$J$592,Detalle_OT!$B$2:$B$592,A48)&gt;0,1,0)</f>
        <v>0</v>
      </c>
      <c r="AL48">
        <f>IF(AND(OR(Dashboard!$D$5="Todos",AD48=Dashboard!$D$5),OR(Dashboard!$F$5="Todos",D48=Dashboard!$F$5),OR(Dashboard!$H$5="Todos",I48=Dashboard!$H$5)),1,0)</f>
        <v>1</v>
      </c>
      <c r="AM48">
        <f>IF(AND(OR(Control_Mandante!$C$4="Todos", AD48=Control_Mandante!$C$4), OR(Control_Mandante!$F$4="Todos", B48=Control_Mandante!$F$4), OR(Control_Mandante!$I$4="Todos", W48=Control_Mandante!$I$4), OR(Control_Mandante!$L$4="Todos", H48=Control_Mandante!$L$4)), 1, 0)</f>
        <v>1</v>
      </c>
      <c r="AN48" t="str">
        <f>IF(AH48=1, COUNTIF(AH$2:AH48, 1), "")</f>
        <v/>
      </c>
      <c r="AO48" t="str">
        <f>IF(AJ48=1, COUNTIF(AJ$2:AJ48, 1), "")</f>
        <v/>
      </c>
      <c r="AP48" t="str">
        <f>IF(AK48=1, COUNTIF(AK$2:AK48, 1), "")</f>
        <v/>
      </c>
    </row>
    <row r="49" spans="1:42" x14ac:dyDescent="0.25">
      <c r="A49" t="s">
        <v>512</v>
      </c>
      <c r="B49" t="s">
        <v>193</v>
      </c>
      <c r="C49" t="s">
        <v>513</v>
      </c>
      <c r="D49" t="s">
        <v>301</v>
      </c>
      <c r="E49" s="43">
        <v>46202</v>
      </c>
      <c r="F49" s="43">
        <v>46206</v>
      </c>
      <c r="G49" s="43">
        <v>46213</v>
      </c>
      <c r="H49" t="s">
        <v>232</v>
      </c>
      <c r="I49" t="s">
        <v>277</v>
      </c>
      <c r="J49" t="s">
        <v>514</v>
      </c>
      <c r="K49" s="43">
        <v>46202</v>
      </c>
      <c r="L49">
        <f t="shared" si="16"/>
        <v>427800</v>
      </c>
      <c r="M49" t="s">
        <v>279</v>
      </c>
      <c r="N49" t="s">
        <v>515</v>
      </c>
      <c r="O49" s="43">
        <v>46203</v>
      </c>
      <c r="P49">
        <f t="shared" si="29"/>
        <v>427800</v>
      </c>
      <c r="Q49" t="s">
        <v>281</v>
      </c>
      <c r="R49" t="s">
        <v>516</v>
      </c>
      <c r="S49" s="43">
        <v>46215</v>
      </c>
      <c r="T49">
        <f t="shared" si="30"/>
        <v>427800</v>
      </c>
      <c r="U49">
        <f>T49*0.5</f>
        <v>213900</v>
      </c>
      <c r="V49">
        <f t="shared" si="17"/>
        <v>213900</v>
      </c>
      <c r="W49" t="str">
        <f t="shared" si="18"/>
        <v>CUADRADO (3-WAY OK)</v>
      </c>
      <c r="X49">
        <f>SUMIFS(Detalle_OT!$I$2:$I$592,Detalle_OT!$B$2:$B$592,A49)</f>
        <v>427800</v>
      </c>
      <c r="Y49">
        <f>SUMIFS(Detalle_OT!$H$2:$H$592,Detalle_OT!$B$2:$B$592,A49,Detalle_OT!$C$2:$C$592,"Repuesto")</f>
        <v>185020</v>
      </c>
      <c r="Z49">
        <f>SUMIFS(Detalle_OT!$H$2:$H$592,Detalle_OT!$B$2:$B$592,A49,Detalle_OT!$C$2:$C$592,"Mano de Obra")</f>
        <v>75000</v>
      </c>
      <c r="AA49">
        <f t="shared" si="19"/>
        <v>167780</v>
      </c>
      <c r="AB49">
        <f t="shared" si="20"/>
        <v>0.39219261337073397</v>
      </c>
      <c r="AC49" t="str">
        <f t="shared" si="21"/>
        <v>Margen No Negativo Confirmado</v>
      </c>
      <c r="AD49" t="str">
        <f t="shared" si="22"/>
        <v>2026-06</v>
      </c>
      <c r="AE49" t="str">
        <f t="shared" si="23"/>
        <v>Semana 27</v>
      </c>
      <c r="AF49">
        <f t="shared" si="24"/>
        <v>11</v>
      </c>
      <c r="AG49">
        <f t="shared" si="25"/>
        <v>0</v>
      </c>
      <c r="AH49">
        <f>IF(AND(G49="",OR(I49="En Curso",I49="Reprogramada"),F49&lt;Dashboard!$B$5),1,0)</f>
        <v>0</v>
      </c>
      <c r="AI49">
        <f t="shared" si="26"/>
        <v>0</v>
      </c>
      <c r="AJ49">
        <f t="shared" si="27"/>
        <v>0</v>
      </c>
      <c r="AK49">
        <f>IF(SUMIFS(Detalle_OT!$J$2:$J$592,Detalle_OT!$B$2:$B$592,A49)&gt;0,1,0)</f>
        <v>0</v>
      </c>
      <c r="AL49">
        <f>IF(AND(OR(Dashboard!$D$5="Todos",AD49=Dashboard!$D$5),OR(Dashboard!$F$5="Todos",D49=Dashboard!$F$5),OR(Dashboard!$H$5="Todos",I49=Dashboard!$H$5)),1,0)</f>
        <v>1</v>
      </c>
      <c r="AM49">
        <f>IF(AND(OR(Control_Mandante!$C$4="Todos", AD49=Control_Mandante!$C$4), OR(Control_Mandante!$F$4="Todos", B49=Control_Mandante!$F$4), OR(Control_Mandante!$I$4="Todos", W49=Control_Mandante!$I$4), OR(Control_Mandante!$L$4="Todos", H49=Control_Mandante!$L$4)), 1, 0)</f>
        <v>1</v>
      </c>
      <c r="AN49" t="str">
        <f>IF(AH49=1, COUNTIF(AH$2:AH49, 1), "")</f>
        <v/>
      </c>
      <c r="AO49" t="str">
        <f>IF(AJ49=1, COUNTIF(AJ$2:AJ49, 1), "")</f>
        <v/>
      </c>
      <c r="AP49" t="str">
        <f>IF(AK49=1, COUNTIF(AK$2:AK49, 1), "")</f>
        <v/>
      </c>
    </row>
    <row r="50" spans="1:42" x14ac:dyDescent="0.25">
      <c r="A50" t="s">
        <v>517</v>
      </c>
      <c r="B50" t="s">
        <v>168</v>
      </c>
      <c r="C50" t="s">
        <v>518</v>
      </c>
      <c r="D50" t="s">
        <v>301</v>
      </c>
      <c r="E50" s="43">
        <v>46203</v>
      </c>
      <c r="F50" s="43">
        <v>46208</v>
      </c>
      <c r="G50" s="43">
        <v>46207</v>
      </c>
      <c r="H50" t="s">
        <v>215</v>
      </c>
      <c r="I50" t="s">
        <v>277</v>
      </c>
      <c r="J50" t="s">
        <v>519</v>
      </c>
      <c r="K50" s="43">
        <v>46203</v>
      </c>
      <c r="L50">
        <f t="shared" si="16"/>
        <v>715800</v>
      </c>
      <c r="M50" t="s">
        <v>279</v>
      </c>
      <c r="N50" t="s">
        <v>520</v>
      </c>
      <c r="O50" s="43">
        <v>46204</v>
      </c>
      <c r="P50">
        <f t="shared" si="29"/>
        <v>715800</v>
      </c>
      <c r="Q50" t="s">
        <v>281</v>
      </c>
      <c r="R50" t="s">
        <v>521</v>
      </c>
      <c r="S50" s="43">
        <v>46209</v>
      </c>
      <c r="T50">
        <f t="shared" si="30"/>
        <v>715800</v>
      </c>
      <c r="U50">
        <f>T50</f>
        <v>715800</v>
      </c>
      <c r="V50">
        <f t="shared" si="17"/>
        <v>0</v>
      </c>
      <c r="W50" t="str">
        <f t="shared" si="18"/>
        <v>CUADRADO (3-WAY OK)</v>
      </c>
      <c r="X50">
        <f>SUMIFS(Detalle_OT!$I$2:$I$592,Detalle_OT!$B$2:$B$592,A50)</f>
        <v>715800</v>
      </c>
      <c r="Y50">
        <f>SUMIFS(Detalle_OT!$H$2:$H$592,Detalle_OT!$B$2:$B$592,A50,Detalle_OT!$C$2:$C$592,"Repuesto")</f>
        <v>167070</v>
      </c>
      <c r="Z50">
        <f>SUMIFS(Detalle_OT!$H$2:$H$592,Detalle_OT!$B$2:$B$592,A50,Detalle_OT!$C$2:$C$592,"Mano de Obra")</f>
        <v>264800</v>
      </c>
      <c r="AA50">
        <f t="shared" si="19"/>
        <v>283930</v>
      </c>
      <c r="AB50">
        <f t="shared" si="20"/>
        <v>0.39666107851355126</v>
      </c>
      <c r="AC50" t="str">
        <f t="shared" si="21"/>
        <v>Margen No Negativo Confirmado</v>
      </c>
      <c r="AD50" t="str">
        <f t="shared" si="22"/>
        <v>2026-06</v>
      </c>
      <c r="AE50" t="str">
        <f t="shared" si="23"/>
        <v>Semana 27</v>
      </c>
      <c r="AF50">
        <f t="shared" si="24"/>
        <v>4</v>
      </c>
      <c r="AG50">
        <f t="shared" si="25"/>
        <v>1</v>
      </c>
      <c r="AH50">
        <f>IF(AND(G50="",OR(I50="En Curso",I50="Reprogramada"),F50&lt;Dashboard!$B$5),1,0)</f>
        <v>0</v>
      </c>
      <c r="AI50">
        <f t="shared" si="26"/>
        <v>0</v>
      </c>
      <c r="AJ50">
        <f t="shared" si="27"/>
        <v>0</v>
      </c>
      <c r="AK50">
        <f>IF(SUMIFS(Detalle_OT!$J$2:$J$592,Detalle_OT!$B$2:$B$592,A50)&gt;0,1,0)</f>
        <v>0</v>
      </c>
      <c r="AL50">
        <f>IF(AND(OR(Dashboard!$D$5="Todos",AD50=Dashboard!$D$5),OR(Dashboard!$F$5="Todos",D50=Dashboard!$F$5),OR(Dashboard!$H$5="Todos",I50=Dashboard!$H$5)),1,0)</f>
        <v>1</v>
      </c>
      <c r="AM50">
        <f>IF(AND(OR(Control_Mandante!$C$4="Todos", AD50=Control_Mandante!$C$4), OR(Control_Mandante!$F$4="Todos", B50=Control_Mandante!$F$4), OR(Control_Mandante!$I$4="Todos", W50=Control_Mandante!$I$4), OR(Control_Mandante!$L$4="Todos", H50=Control_Mandante!$L$4)), 1, 0)</f>
        <v>1</v>
      </c>
      <c r="AN50" t="str">
        <f>IF(AH50=1, COUNTIF(AH$2:AH50, 1), "")</f>
        <v/>
      </c>
      <c r="AO50" t="str">
        <f>IF(AJ50=1, COUNTIF(AJ$2:AJ50, 1), "")</f>
        <v/>
      </c>
      <c r="AP50" t="str">
        <f>IF(AK50=1, COUNTIF(AK$2:AK50, 1), "")</f>
        <v/>
      </c>
    </row>
    <row r="51" spans="1:42" x14ac:dyDescent="0.25">
      <c r="A51" t="s">
        <v>522</v>
      </c>
      <c r="B51" t="s">
        <v>165</v>
      </c>
      <c r="C51" t="s">
        <v>523</v>
      </c>
      <c r="D51" t="s">
        <v>276</v>
      </c>
      <c r="E51" s="43">
        <v>46204</v>
      </c>
      <c r="F51" s="43">
        <v>46207</v>
      </c>
      <c r="G51" s="43">
        <v>46208</v>
      </c>
      <c r="H51" t="s">
        <v>232</v>
      </c>
      <c r="I51" t="s">
        <v>277</v>
      </c>
      <c r="J51" t="s">
        <v>524</v>
      </c>
      <c r="K51" s="43">
        <v>46204</v>
      </c>
      <c r="L51">
        <f t="shared" si="16"/>
        <v>304270</v>
      </c>
      <c r="M51" t="s">
        <v>279</v>
      </c>
      <c r="N51" t="s">
        <v>525</v>
      </c>
      <c r="O51" s="43">
        <v>46205</v>
      </c>
      <c r="P51">
        <f t="shared" si="29"/>
        <v>304270</v>
      </c>
      <c r="Q51" t="s">
        <v>281</v>
      </c>
      <c r="R51" t="s">
        <v>526</v>
      </c>
      <c r="S51" s="43">
        <v>46210</v>
      </c>
      <c r="T51">
        <f t="shared" si="30"/>
        <v>304270</v>
      </c>
      <c r="U51">
        <f>T51</f>
        <v>304270</v>
      </c>
      <c r="V51">
        <f t="shared" si="17"/>
        <v>0</v>
      </c>
      <c r="W51" t="str">
        <f t="shared" si="18"/>
        <v>CUADRADO (3-WAY OK)</v>
      </c>
      <c r="X51">
        <f>SUMIFS(Detalle_OT!$I$2:$I$592,Detalle_OT!$B$2:$B$592,A51)</f>
        <v>304270</v>
      </c>
      <c r="Y51">
        <f>SUMIFS(Detalle_OT!$H$2:$H$592,Detalle_OT!$B$2:$B$592,A51,Detalle_OT!$C$2:$C$592,"Repuesto")</f>
        <v>133290</v>
      </c>
      <c r="Z51">
        <f>SUMIFS(Detalle_OT!$H$2:$H$592,Detalle_OT!$B$2:$B$592,A51,Detalle_OT!$C$2:$C$592,"Mano de Obra")</f>
        <v>52800</v>
      </c>
      <c r="AA51">
        <f t="shared" si="19"/>
        <v>118180</v>
      </c>
      <c r="AB51">
        <f t="shared" si="20"/>
        <v>0.38840503500180762</v>
      </c>
      <c r="AC51" t="str">
        <f t="shared" si="21"/>
        <v>Margen No Negativo Confirmado</v>
      </c>
      <c r="AD51" t="str">
        <f t="shared" si="22"/>
        <v>2026-07</v>
      </c>
      <c r="AE51" t="str">
        <f t="shared" si="23"/>
        <v>Semana 27</v>
      </c>
      <c r="AF51">
        <f t="shared" si="24"/>
        <v>4</v>
      </c>
      <c r="AG51">
        <f t="shared" si="25"/>
        <v>0</v>
      </c>
      <c r="AH51">
        <f>IF(AND(G51="",OR(I51="En Curso",I51="Reprogramada"),F51&lt;Dashboard!$B$5),1,0)</f>
        <v>0</v>
      </c>
      <c r="AI51">
        <f t="shared" si="26"/>
        <v>0</v>
      </c>
      <c r="AJ51">
        <f t="shared" si="27"/>
        <v>0</v>
      </c>
      <c r="AK51">
        <f>IF(SUMIFS(Detalle_OT!$J$2:$J$592,Detalle_OT!$B$2:$B$592,A51)&gt;0,1,0)</f>
        <v>0</v>
      </c>
      <c r="AL51">
        <f>IF(AND(OR(Dashboard!$D$5="Todos",AD51=Dashboard!$D$5),OR(Dashboard!$F$5="Todos",D51=Dashboard!$F$5),OR(Dashboard!$H$5="Todos",I51=Dashboard!$H$5)),1,0)</f>
        <v>1</v>
      </c>
      <c r="AM51">
        <f>IF(AND(OR(Control_Mandante!$C$4="Todos", AD51=Control_Mandante!$C$4), OR(Control_Mandante!$F$4="Todos", B51=Control_Mandante!$F$4), OR(Control_Mandante!$I$4="Todos", W51=Control_Mandante!$I$4), OR(Control_Mandante!$L$4="Todos", H51=Control_Mandante!$L$4)), 1, 0)</f>
        <v>1</v>
      </c>
      <c r="AN51" t="str">
        <f>IF(AH51=1, COUNTIF(AH$2:AH51, 1), "")</f>
        <v/>
      </c>
      <c r="AO51" t="str">
        <f>IF(AJ51=1, COUNTIF(AJ$2:AJ51, 1), "")</f>
        <v/>
      </c>
      <c r="AP51" t="str">
        <f>IF(AK51=1, COUNTIF(AK$2:AK51, 1), "")</f>
        <v/>
      </c>
    </row>
    <row r="52" spans="1:42" x14ac:dyDescent="0.25">
      <c r="A52" t="s">
        <v>527</v>
      </c>
      <c r="B52" t="s">
        <v>190</v>
      </c>
      <c r="C52" t="s">
        <v>528</v>
      </c>
      <c r="D52" t="s">
        <v>276</v>
      </c>
      <c r="E52" s="43">
        <v>46204</v>
      </c>
      <c r="F52" s="43">
        <v>46206</v>
      </c>
      <c r="G52" s="43">
        <v>46211</v>
      </c>
      <c r="H52" t="s">
        <v>220</v>
      </c>
      <c r="I52" t="s">
        <v>277</v>
      </c>
      <c r="J52" t="s">
        <v>529</v>
      </c>
      <c r="K52" s="43">
        <v>46204</v>
      </c>
      <c r="L52">
        <f t="shared" si="16"/>
        <v>309980</v>
      </c>
      <c r="M52" t="s">
        <v>279</v>
      </c>
      <c r="N52" t="s">
        <v>530</v>
      </c>
      <c r="O52" s="43">
        <v>46205</v>
      </c>
      <c r="P52">
        <f t="shared" si="29"/>
        <v>309980</v>
      </c>
      <c r="Q52" t="s">
        <v>281</v>
      </c>
      <c r="R52" t="s">
        <v>531</v>
      </c>
      <c r="S52" s="43">
        <v>46213</v>
      </c>
      <c r="T52">
        <f t="shared" si="30"/>
        <v>309980</v>
      </c>
      <c r="U52">
        <f>T52*0.5</f>
        <v>154990</v>
      </c>
      <c r="V52">
        <f t="shared" si="17"/>
        <v>154990</v>
      </c>
      <c r="W52" t="str">
        <f t="shared" si="18"/>
        <v>CUADRADO (3-WAY OK)</v>
      </c>
      <c r="X52">
        <f>SUMIFS(Detalle_OT!$I$2:$I$592,Detalle_OT!$B$2:$B$592,A52)</f>
        <v>309980</v>
      </c>
      <c r="Y52">
        <f>SUMIFS(Detalle_OT!$H$2:$H$592,Detalle_OT!$B$2:$B$592,A52,Detalle_OT!$C$2:$C$592,"Repuesto")</f>
        <v>117280</v>
      </c>
      <c r="Z52">
        <f>SUMIFS(Detalle_OT!$H$2:$H$592,Detalle_OT!$B$2:$B$592,A52,Detalle_OT!$C$2:$C$592,"Mano de Obra")</f>
        <v>72000</v>
      </c>
      <c r="AA52">
        <f t="shared" si="19"/>
        <v>120700</v>
      </c>
      <c r="AB52">
        <f t="shared" si="20"/>
        <v>0.3893799599974192</v>
      </c>
      <c r="AC52" t="str">
        <f t="shared" si="21"/>
        <v>Margen No Negativo Confirmado</v>
      </c>
      <c r="AD52" t="str">
        <f t="shared" si="22"/>
        <v>2026-07</v>
      </c>
      <c r="AE52" t="str">
        <f t="shared" si="23"/>
        <v>Semana 27</v>
      </c>
      <c r="AF52">
        <f t="shared" si="24"/>
        <v>7</v>
      </c>
      <c r="AG52">
        <f t="shared" si="25"/>
        <v>0</v>
      </c>
      <c r="AH52">
        <f>IF(AND(G52="",OR(I52="En Curso",I52="Reprogramada"),F52&lt;Dashboard!$B$5),1,0)</f>
        <v>0</v>
      </c>
      <c r="AI52">
        <f t="shared" si="26"/>
        <v>0</v>
      </c>
      <c r="AJ52">
        <f t="shared" si="27"/>
        <v>0</v>
      </c>
      <c r="AK52">
        <f>IF(SUMIFS(Detalle_OT!$J$2:$J$592,Detalle_OT!$B$2:$B$592,A52)&gt;0,1,0)</f>
        <v>0</v>
      </c>
      <c r="AL52">
        <f>IF(AND(OR(Dashboard!$D$5="Todos",AD52=Dashboard!$D$5),OR(Dashboard!$F$5="Todos",D52=Dashboard!$F$5),OR(Dashboard!$H$5="Todos",I52=Dashboard!$H$5)),1,0)</f>
        <v>1</v>
      </c>
      <c r="AM52">
        <f>IF(AND(OR(Control_Mandante!$C$4="Todos", AD52=Control_Mandante!$C$4), OR(Control_Mandante!$F$4="Todos", B52=Control_Mandante!$F$4), OR(Control_Mandante!$I$4="Todos", W52=Control_Mandante!$I$4), OR(Control_Mandante!$L$4="Todos", H52=Control_Mandante!$L$4)), 1, 0)</f>
        <v>1</v>
      </c>
      <c r="AN52" t="str">
        <f>IF(AH52=1, COUNTIF(AH$2:AH52, 1), "")</f>
        <v/>
      </c>
      <c r="AO52" t="str">
        <f>IF(AJ52=1, COUNTIF(AJ$2:AJ52, 1), "")</f>
        <v/>
      </c>
      <c r="AP52" t="str">
        <f>IF(AK52=1, COUNTIF(AK$2:AK52, 1), "")</f>
        <v/>
      </c>
    </row>
    <row r="53" spans="1:42" x14ac:dyDescent="0.25">
      <c r="A53" t="s">
        <v>532</v>
      </c>
      <c r="B53" t="s">
        <v>196</v>
      </c>
      <c r="C53" t="s">
        <v>533</v>
      </c>
      <c r="D53" t="s">
        <v>276</v>
      </c>
      <c r="E53" s="43">
        <v>46206</v>
      </c>
      <c r="F53" s="43">
        <v>46210</v>
      </c>
      <c r="G53" s="43">
        <v>46209</v>
      </c>
      <c r="H53" t="s">
        <v>218</v>
      </c>
      <c r="I53" t="s">
        <v>277</v>
      </c>
      <c r="J53" t="s">
        <v>534</v>
      </c>
      <c r="K53" s="43">
        <v>46206</v>
      </c>
      <c r="L53">
        <f t="shared" si="16"/>
        <v>151200</v>
      </c>
      <c r="M53" t="s">
        <v>279</v>
      </c>
      <c r="N53" t="s">
        <v>535</v>
      </c>
      <c r="O53" s="43">
        <v>46207</v>
      </c>
      <c r="P53">
        <f t="shared" si="29"/>
        <v>151200</v>
      </c>
      <c r="Q53" t="s">
        <v>281</v>
      </c>
      <c r="R53" t="s">
        <v>536</v>
      </c>
      <c r="S53" s="43">
        <v>46211</v>
      </c>
      <c r="T53">
        <f t="shared" si="30"/>
        <v>151200</v>
      </c>
      <c r="U53">
        <f>T53</f>
        <v>151200</v>
      </c>
      <c r="V53">
        <f t="shared" si="17"/>
        <v>0</v>
      </c>
      <c r="W53" t="str">
        <f t="shared" si="18"/>
        <v>CUADRADO (3-WAY OK)</v>
      </c>
      <c r="X53">
        <f>SUMIFS(Detalle_OT!$I$2:$I$592,Detalle_OT!$B$2:$B$592,A53)</f>
        <v>151200</v>
      </c>
      <c r="Y53">
        <f>SUMIFS(Detalle_OT!$H$2:$H$592,Detalle_OT!$B$2:$B$592,A53,Detalle_OT!$C$2:$C$592,"Repuesto")</f>
        <v>67320</v>
      </c>
      <c r="Z53">
        <f>SUMIFS(Detalle_OT!$H$2:$H$592,Detalle_OT!$B$2:$B$592,A53,Detalle_OT!$C$2:$C$592,"Mano de Obra")</f>
        <v>38700</v>
      </c>
      <c r="AA53">
        <f t="shared" si="19"/>
        <v>45180</v>
      </c>
      <c r="AB53">
        <f t="shared" si="20"/>
        <v>0.2988095238095238</v>
      </c>
      <c r="AC53" t="str">
        <f t="shared" si="21"/>
        <v>Margen No Negativo Confirmado</v>
      </c>
      <c r="AD53" t="str">
        <f t="shared" si="22"/>
        <v>2026-07</v>
      </c>
      <c r="AE53" t="str">
        <f t="shared" si="23"/>
        <v>Semana 27</v>
      </c>
      <c r="AF53">
        <f t="shared" si="24"/>
        <v>3</v>
      </c>
      <c r="AG53">
        <f t="shared" si="25"/>
        <v>1</v>
      </c>
      <c r="AH53">
        <f>IF(AND(G53="",OR(I53="En Curso",I53="Reprogramada"),F53&lt;Dashboard!$B$5),1,0)</f>
        <v>0</v>
      </c>
      <c r="AI53">
        <f t="shared" si="26"/>
        <v>0</v>
      </c>
      <c r="AJ53">
        <f t="shared" si="27"/>
        <v>0</v>
      </c>
      <c r="AK53">
        <f>IF(SUMIFS(Detalle_OT!$J$2:$J$592,Detalle_OT!$B$2:$B$592,A53)&gt;0,1,0)</f>
        <v>0</v>
      </c>
      <c r="AL53">
        <f>IF(AND(OR(Dashboard!$D$5="Todos",AD53=Dashboard!$D$5),OR(Dashboard!$F$5="Todos",D53=Dashboard!$F$5),OR(Dashboard!$H$5="Todos",I53=Dashboard!$H$5)),1,0)</f>
        <v>1</v>
      </c>
      <c r="AM53">
        <f>IF(AND(OR(Control_Mandante!$C$4="Todos", AD53=Control_Mandante!$C$4), OR(Control_Mandante!$F$4="Todos", B53=Control_Mandante!$F$4), OR(Control_Mandante!$I$4="Todos", W53=Control_Mandante!$I$4), OR(Control_Mandante!$L$4="Todos", H53=Control_Mandante!$L$4)), 1, 0)</f>
        <v>1</v>
      </c>
      <c r="AN53" t="str">
        <f>IF(AH53=1, COUNTIF(AH$2:AH53, 1), "")</f>
        <v/>
      </c>
      <c r="AO53" t="str">
        <f>IF(AJ53=1, COUNTIF(AJ$2:AJ53, 1), "")</f>
        <v/>
      </c>
      <c r="AP53" t="str">
        <f>IF(AK53=1, COUNTIF(AK$2:AK53, 1), "")</f>
        <v/>
      </c>
    </row>
    <row r="54" spans="1:42" x14ac:dyDescent="0.25">
      <c r="A54" t="s">
        <v>537</v>
      </c>
      <c r="B54" t="s">
        <v>174</v>
      </c>
      <c r="C54" t="s">
        <v>538</v>
      </c>
      <c r="D54" t="s">
        <v>276</v>
      </c>
      <c r="E54" s="43">
        <v>46207</v>
      </c>
      <c r="F54" s="43">
        <v>46211</v>
      </c>
      <c r="G54" s="43">
        <v>46209</v>
      </c>
      <c r="H54" t="s">
        <v>215</v>
      </c>
      <c r="I54" t="s">
        <v>277</v>
      </c>
      <c r="J54" t="s">
        <v>539</v>
      </c>
      <c r="K54" s="43">
        <v>46207</v>
      </c>
      <c r="L54">
        <f t="shared" si="16"/>
        <v>160500</v>
      </c>
      <c r="M54" t="s">
        <v>279</v>
      </c>
      <c r="N54" t="s">
        <v>540</v>
      </c>
      <c r="O54" s="43">
        <v>46208</v>
      </c>
      <c r="P54">
        <f t="shared" si="29"/>
        <v>160500</v>
      </c>
      <c r="Q54" t="s">
        <v>281</v>
      </c>
      <c r="R54" t="s">
        <v>541</v>
      </c>
      <c r="S54" s="43">
        <v>46211</v>
      </c>
      <c r="T54">
        <f t="shared" si="30"/>
        <v>160500</v>
      </c>
      <c r="U54">
        <f>T54</f>
        <v>160500</v>
      </c>
      <c r="V54">
        <f t="shared" si="17"/>
        <v>0</v>
      </c>
      <c r="W54" t="str">
        <f t="shared" si="18"/>
        <v>CUADRADO (3-WAY OK)</v>
      </c>
      <c r="X54">
        <f>SUMIFS(Detalle_OT!$I$2:$I$592,Detalle_OT!$B$2:$B$592,A54)</f>
        <v>160500</v>
      </c>
      <c r="Y54">
        <f>SUMIFS(Detalle_OT!$H$2:$H$592,Detalle_OT!$B$2:$B$592,A54,Detalle_OT!$C$2:$C$592,"Repuesto")</f>
        <v>15480</v>
      </c>
      <c r="Z54">
        <f>SUMIFS(Detalle_OT!$H$2:$H$592,Detalle_OT!$B$2:$B$592,A54,Detalle_OT!$C$2:$C$592,"Mano de Obra")</f>
        <v>73200</v>
      </c>
      <c r="AA54">
        <f t="shared" si="19"/>
        <v>71820</v>
      </c>
      <c r="AB54">
        <f t="shared" si="20"/>
        <v>0.44747663551401867</v>
      </c>
      <c r="AC54" t="str">
        <f t="shared" si="21"/>
        <v>Margen No Negativo Confirmado</v>
      </c>
      <c r="AD54" t="str">
        <f t="shared" si="22"/>
        <v>2026-07</v>
      </c>
      <c r="AE54" t="str">
        <f t="shared" si="23"/>
        <v>Semana 27</v>
      </c>
      <c r="AF54">
        <f t="shared" si="24"/>
        <v>2</v>
      </c>
      <c r="AG54">
        <f t="shared" si="25"/>
        <v>1</v>
      </c>
      <c r="AH54">
        <f>IF(AND(G54="",OR(I54="En Curso",I54="Reprogramada"),F54&lt;Dashboard!$B$5),1,0)</f>
        <v>0</v>
      </c>
      <c r="AI54">
        <f t="shared" si="26"/>
        <v>0</v>
      </c>
      <c r="AJ54">
        <f t="shared" si="27"/>
        <v>0</v>
      </c>
      <c r="AK54">
        <f>IF(SUMIFS(Detalle_OT!$J$2:$J$592,Detalle_OT!$B$2:$B$592,A54)&gt;0,1,0)</f>
        <v>0</v>
      </c>
      <c r="AL54">
        <f>IF(AND(OR(Dashboard!$D$5="Todos",AD54=Dashboard!$D$5),OR(Dashboard!$F$5="Todos",D54=Dashboard!$F$5),OR(Dashboard!$H$5="Todos",I54=Dashboard!$H$5)),1,0)</f>
        <v>1</v>
      </c>
      <c r="AM54">
        <f>IF(AND(OR(Control_Mandante!$C$4="Todos", AD54=Control_Mandante!$C$4), OR(Control_Mandante!$F$4="Todos", B54=Control_Mandante!$F$4), OR(Control_Mandante!$I$4="Todos", W54=Control_Mandante!$I$4), OR(Control_Mandante!$L$4="Todos", H54=Control_Mandante!$L$4)), 1, 0)</f>
        <v>1</v>
      </c>
      <c r="AN54" t="str">
        <f>IF(AH54=1, COUNTIF(AH$2:AH54, 1), "")</f>
        <v/>
      </c>
      <c r="AO54" t="str">
        <f>IF(AJ54=1, COUNTIF(AJ$2:AJ54, 1), "")</f>
        <v/>
      </c>
      <c r="AP54" t="str">
        <f>IF(AK54=1, COUNTIF(AK$2:AK54, 1), "")</f>
        <v/>
      </c>
    </row>
    <row r="55" spans="1:42" x14ac:dyDescent="0.25">
      <c r="A55" t="s">
        <v>542</v>
      </c>
      <c r="B55" t="s">
        <v>209</v>
      </c>
      <c r="C55" t="s">
        <v>543</v>
      </c>
      <c r="D55" t="s">
        <v>301</v>
      </c>
      <c r="E55" s="43">
        <v>46208</v>
      </c>
      <c r="F55" s="43">
        <v>46212</v>
      </c>
      <c r="H55" t="s">
        <v>218</v>
      </c>
      <c r="I55" t="s">
        <v>352</v>
      </c>
      <c r="J55" t="s">
        <v>544</v>
      </c>
      <c r="K55" s="43">
        <v>46208</v>
      </c>
      <c r="L55">
        <f t="shared" si="16"/>
        <v>480680</v>
      </c>
      <c r="M55" t="s">
        <v>279</v>
      </c>
      <c r="P55">
        <v>0</v>
      </c>
      <c r="Q55" t="s">
        <v>458</v>
      </c>
      <c r="T55">
        <v>0</v>
      </c>
      <c r="U55">
        <v>0</v>
      </c>
      <c r="V55">
        <f t="shared" si="17"/>
        <v>0</v>
      </c>
      <c r="W55" t="str">
        <f t="shared" si="18"/>
        <v>Falta OC Mandante</v>
      </c>
      <c r="X55">
        <f>SUMIFS(Detalle_OT!$I$2:$I$592,Detalle_OT!$B$2:$B$592,A55)</f>
        <v>480680</v>
      </c>
      <c r="Y55">
        <f>SUMIFS(Detalle_OT!$H$2:$H$592,Detalle_OT!$B$2:$B$592,A55,Detalle_OT!$C$2:$C$592,"Repuesto")</f>
        <v>178700</v>
      </c>
      <c r="Z55">
        <f>SUMIFS(Detalle_OT!$H$2:$H$592,Detalle_OT!$B$2:$B$592,A55,Detalle_OT!$C$2:$C$592,"Mano de Obra")</f>
        <v>126000</v>
      </c>
      <c r="AA55">
        <f t="shared" si="19"/>
        <v>175980</v>
      </c>
      <c r="AB55">
        <f t="shared" si="20"/>
        <v>0.36610634933843722</v>
      </c>
      <c r="AC55" t="str">
        <f t="shared" si="21"/>
        <v>Margen No Negativo Confirmado</v>
      </c>
      <c r="AD55" t="str">
        <f t="shared" si="22"/>
        <v>2026-07</v>
      </c>
      <c r="AE55" t="str">
        <f t="shared" si="23"/>
        <v>Semana 28</v>
      </c>
      <c r="AF55" t="str">
        <f t="shared" si="24"/>
        <v/>
      </c>
      <c r="AG55" t="str">
        <f t="shared" si="25"/>
        <v/>
      </c>
      <c r="AH55">
        <f>IF(AND(G55="",OR(I55="En Curso",I55="Reprogramada"),F55&lt;Dashboard!$B$5),1,0)</f>
        <v>1</v>
      </c>
      <c r="AI55">
        <f t="shared" si="26"/>
        <v>1</v>
      </c>
      <c r="AJ55">
        <f t="shared" si="27"/>
        <v>0</v>
      </c>
      <c r="AK55">
        <f>IF(SUMIFS(Detalle_OT!$J$2:$J$592,Detalle_OT!$B$2:$B$592,A55)&gt;0,1,0)</f>
        <v>0</v>
      </c>
      <c r="AL55">
        <f>IF(AND(OR(Dashboard!$D$5="Todos",AD55=Dashboard!$D$5),OR(Dashboard!$F$5="Todos",D55=Dashboard!$F$5),OR(Dashboard!$H$5="Todos",I55=Dashboard!$H$5)),1,0)</f>
        <v>1</v>
      </c>
      <c r="AM55">
        <f>IF(AND(OR(Control_Mandante!$C$4="Todos", AD55=Control_Mandante!$C$4), OR(Control_Mandante!$F$4="Todos", B55=Control_Mandante!$F$4), OR(Control_Mandante!$I$4="Todos", W55=Control_Mandante!$I$4), OR(Control_Mandante!$L$4="Todos", H55=Control_Mandante!$L$4)), 1, 0)</f>
        <v>1</v>
      </c>
      <c r="AN55">
        <f>IF(AH55=1, COUNTIF(AH$2:AH55, 1), "")</f>
        <v>2</v>
      </c>
      <c r="AO55" t="str">
        <f>IF(AJ55=1, COUNTIF(AJ$2:AJ55, 1), "")</f>
        <v/>
      </c>
      <c r="AP55" t="str">
        <f>IF(AK55=1, COUNTIF(AK$2:AK55, 1), "")</f>
        <v/>
      </c>
    </row>
    <row r="56" spans="1:42" x14ac:dyDescent="0.25">
      <c r="A56" t="s">
        <v>545</v>
      </c>
      <c r="B56" t="s">
        <v>168</v>
      </c>
      <c r="C56" t="s">
        <v>546</v>
      </c>
      <c r="D56" t="s">
        <v>295</v>
      </c>
      <c r="E56" s="43">
        <v>46209</v>
      </c>
      <c r="F56" s="43">
        <v>46224</v>
      </c>
      <c r="G56" s="43">
        <v>46222</v>
      </c>
      <c r="H56" t="s">
        <v>227</v>
      </c>
      <c r="I56" t="s">
        <v>277</v>
      </c>
      <c r="J56" t="s">
        <v>547</v>
      </c>
      <c r="K56" s="43">
        <v>46209</v>
      </c>
      <c r="L56">
        <f t="shared" si="16"/>
        <v>2284860</v>
      </c>
      <c r="M56" t="s">
        <v>279</v>
      </c>
      <c r="N56" t="s">
        <v>548</v>
      </c>
      <c r="O56" s="43">
        <v>46210</v>
      </c>
      <c r="P56">
        <f t="shared" ref="P56:P87" si="31">X56</f>
        <v>2284860</v>
      </c>
      <c r="Q56" t="s">
        <v>281</v>
      </c>
      <c r="R56" t="s">
        <v>549</v>
      </c>
      <c r="S56" s="43">
        <v>46224</v>
      </c>
      <c r="T56">
        <f t="shared" ref="T56:T64" si="32">X56</f>
        <v>2284860</v>
      </c>
      <c r="U56">
        <f>T56</f>
        <v>2284860</v>
      </c>
      <c r="V56">
        <f t="shared" si="17"/>
        <v>0</v>
      </c>
      <c r="W56" t="str">
        <f t="shared" si="18"/>
        <v>CUADRADO (3-WAY OK)</v>
      </c>
      <c r="X56">
        <f>SUMIFS(Detalle_OT!$I$2:$I$592,Detalle_OT!$B$2:$B$592,A56)</f>
        <v>2284860</v>
      </c>
      <c r="Y56">
        <f>SUMIFS(Detalle_OT!$H$2:$H$592,Detalle_OT!$B$2:$B$592,A56,Detalle_OT!$C$2:$C$592,"Repuesto")</f>
        <v>1450520</v>
      </c>
      <c r="Z56">
        <f>SUMIFS(Detalle_OT!$H$2:$H$592,Detalle_OT!$B$2:$B$592,A56,Detalle_OT!$C$2:$C$592,"Mano de Obra")</f>
        <v>148500</v>
      </c>
      <c r="AA56">
        <f t="shared" si="19"/>
        <v>685840</v>
      </c>
      <c r="AB56">
        <f t="shared" si="20"/>
        <v>0.30016718748632304</v>
      </c>
      <c r="AC56" t="str">
        <f t="shared" si="21"/>
        <v>Margen No Negativo Confirmado</v>
      </c>
      <c r="AD56" t="str">
        <f t="shared" si="22"/>
        <v>2026-07</v>
      </c>
      <c r="AE56" t="str">
        <f t="shared" si="23"/>
        <v>Semana 28</v>
      </c>
      <c r="AF56">
        <f t="shared" si="24"/>
        <v>13</v>
      </c>
      <c r="AG56">
        <f t="shared" si="25"/>
        <v>1</v>
      </c>
      <c r="AH56">
        <f>IF(AND(G56="",OR(I56="En Curso",I56="Reprogramada"),F56&lt;Dashboard!$B$5),1,0)</f>
        <v>0</v>
      </c>
      <c r="AI56">
        <f t="shared" si="26"/>
        <v>0</v>
      </c>
      <c r="AJ56">
        <f t="shared" si="27"/>
        <v>0</v>
      </c>
      <c r="AK56">
        <f>IF(SUMIFS(Detalle_OT!$J$2:$J$592,Detalle_OT!$B$2:$B$592,A56)&gt;0,1,0)</f>
        <v>0</v>
      </c>
      <c r="AL56">
        <f>IF(AND(OR(Dashboard!$D$5="Todos",AD56=Dashboard!$D$5),OR(Dashboard!$F$5="Todos",D56=Dashboard!$F$5),OR(Dashboard!$H$5="Todos",I56=Dashboard!$H$5)),1,0)</f>
        <v>1</v>
      </c>
      <c r="AM56">
        <f>IF(AND(OR(Control_Mandante!$C$4="Todos", AD56=Control_Mandante!$C$4), OR(Control_Mandante!$F$4="Todos", B56=Control_Mandante!$F$4), OR(Control_Mandante!$I$4="Todos", W56=Control_Mandante!$I$4), OR(Control_Mandante!$L$4="Todos", H56=Control_Mandante!$L$4)), 1, 0)</f>
        <v>1</v>
      </c>
      <c r="AN56" t="str">
        <f>IF(AH56=1, COUNTIF(AH$2:AH56, 1), "")</f>
        <v/>
      </c>
      <c r="AO56" t="str">
        <f>IF(AJ56=1, COUNTIF(AJ$2:AJ56, 1), "")</f>
        <v/>
      </c>
      <c r="AP56" t="str">
        <f>IF(AK56=1, COUNTIF(AK$2:AK56, 1), "")</f>
        <v/>
      </c>
    </row>
    <row r="57" spans="1:42" x14ac:dyDescent="0.25">
      <c r="A57" t="s">
        <v>550</v>
      </c>
      <c r="B57" t="s">
        <v>190</v>
      </c>
      <c r="C57" t="s">
        <v>551</v>
      </c>
      <c r="D57" t="s">
        <v>295</v>
      </c>
      <c r="E57" s="43">
        <v>46210</v>
      </c>
      <c r="F57" s="43">
        <v>46225</v>
      </c>
      <c r="G57" s="43">
        <v>46232</v>
      </c>
      <c r="H57" t="s">
        <v>222</v>
      </c>
      <c r="I57" t="s">
        <v>277</v>
      </c>
      <c r="J57" t="s">
        <v>552</v>
      </c>
      <c r="K57" s="43">
        <v>46210</v>
      </c>
      <c r="L57">
        <f t="shared" si="16"/>
        <v>670410</v>
      </c>
      <c r="M57" t="s">
        <v>279</v>
      </c>
      <c r="N57" t="s">
        <v>553</v>
      </c>
      <c r="O57" s="43">
        <v>46211</v>
      </c>
      <c r="P57">
        <f t="shared" si="31"/>
        <v>670410</v>
      </c>
      <c r="Q57" t="s">
        <v>281</v>
      </c>
      <c r="R57" t="s">
        <v>554</v>
      </c>
      <c r="S57" s="43">
        <v>46234</v>
      </c>
      <c r="T57">
        <f t="shared" si="32"/>
        <v>670410</v>
      </c>
      <c r="U57">
        <f>T57</f>
        <v>670410</v>
      </c>
      <c r="V57">
        <f t="shared" si="17"/>
        <v>0</v>
      </c>
      <c r="W57" t="str">
        <f t="shared" si="18"/>
        <v>CUADRADO (3-WAY OK)</v>
      </c>
      <c r="X57">
        <f>SUMIFS(Detalle_OT!$I$2:$I$592,Detalle_OT!$B$2:$B$592,A57)</f>
        <v>670410</v>
      </c>
      <c r="Y57">
        <f>SUMIFS(Detalle_OT!$H$2:$H$592,Detalle_OT!$B$2:$B$592,A57,Detalle_OT!$C$2:$C$592,"Repuesto")</f>
        <v>331120</v>
      </c>
      <c r="Z57">
        <f>SUMIFS(Detalle_OT!$H$2:$H$592,Detalle_OT!$B$2:$B$592,A57,Detalle_OT!$C$2:$C$592,"Mano de Obra")</f>
        <v>97600</v>
      </c>
      <c r="AA57">
        <f t="shared" si="19"/>
        <v>241690</v>
      </c>
      <c r="AB57">
        <f t="shared" si="20"/>
        <v>0.3605107322384809</v>
      </c>
      <c r="AC57" t="str">
        <f t="shared" si="21"/>
        <v>Margen No Negativo Confirmado</v>
      </c>
      <c r="AD57" t="str">
        <f t="shared" si="22"/>
        <v>2026-07</v>
      </c>
      <c r="AE57" t="str">
        <f t="shared" si="23"/>
        <v>Semana 28</v>
      </c>
      <c r="AF57">
        <f t="shared" si="24"/>
        <v>22</v>
      </c>
      <c r="AG57">
        <f t="shared" si="25"/>
        <v>0</v>
      </c>
      <c r="AH57">
        <f>IF(AND(G57="",OR(I57="En Curso",I57="Reprogramada"),F57&lt;Dashboard!$B$5),1,0)</f>
        <v>0</v>
      </c>
      <c r="AI57">
        <f t="shared" si="26"/>
        <v>0</v>
      </c>
      <c r="AJ57">
        <f t="shared" si="27"/>
        <v>0</v>
      </c>
      <c r="AK57">
        <f>IF(SUMIFS(Detalle_OT!$J$2:$J$592,Detalle_OT!$B$2:$B$592,A57)&gt;0,1,0)</f>
        <v>0</v>
      </c>
      <c r="AL57">
        <f>IF(AND(OR(Dashboard!$D$5="Todos",AD57=Dashboard!$D$5),OR(Dashboard!$F$5="Todos",D57=Dashboard!$F$5),OR(Dashboard!$H$5="Todos",I57=Dashboard!$H$5)),1,0)</f>
        <v>1</v>
      </c>
      <c r="AM57">
        <f>IF(AND(OR(Control_Mandante!$C$4="Todos", AD57=Control_Mandante!$C$4), OR(Control_Mandante!$F$4="Todos", B57=Control_Mandante!$F$4), OR(Control_Mandante!$I$4="Todos", W57=Control_Mandante!$I$4), OR(Control_Mandante!$L$4="Todos", H57=Control_Mandante!$L$4)), 1, 0)</f>
        <v>1</v>
      </c>
      <c r="AN57" t="str">
        <f>IF(AH57=1, COUNTIF(AH$2:AH57, 1), "")</f>
        <v/>
      </c>
      <c r="AO57" t="str">
        <f>IF(AJ57=1, COUNTIF(AJ$2:AJ57, 1), "")</f>
        <v/>
      </c>
      <c r="AP57" t="str">
        <f>IF(AK57=1, COUNTIF(AK$2:AK57, 1), "")</f>
        <v/>
      </c>
    </row>
    <row r="58" spans="1:42" x14ac:dyDescent="0.25">
      <c r="A58" t="s">
        <v>555</v>
      </c>
      <c r="B58" t="s">
        <v>171</v>
      </c>
      <c r="C58" t="s">
        <v>556</v>
      </c>
      <c r="D58" t="s">
        <v>276</v>
      </c>
      <c r="E58" s="43">
        <v>46216</v>
      </c>
      <c r="F58" s="43">
        <v>46220</v>
      </c>
      <c r="G58" s="43">
        <v>46219</v>
      </c>
      <c r="H58" t="s">
        <v>232</v>
      </c>
      <c r="I58" t="s">
        <v>277</v>
      </c>
      <c r="J58" t="s">
        <v>557</v>
      </c>
      <c r="K58" s="43">
        <v>46216</v>
      </c>
      <c r="L58">
        <f t="shared" si="16"/>
        <v>372460</v>
      </c>
      <c r="M58" t="s">
        <v>279</v>
      </c>
      <c r="N58" t="s">
        <v>558</v>
      </c>
      <c r="O58" s="43">
        <v>46217</v>
      </c>
      <c r="P58">
        <f t="shared" si="31"/>
        <v>372460</v>
      </c>
      <c r="Q58" t="s">
        <v>281</v>
      </c>
      <c r="R58" t="s">
        <v>559</v>
      </c>
      <c r="S58" s="43">
        <v>46221</v>
      </c>
      <c r="T58">
        <f t="shared" si="32"/>
        <v>372460</v>
      </c>
      <c r="U58">
        <f>T58*0.5</f>
        <v>186230</v>
      </c>
      <c r="V58">
        <f t="shared" si="17"/>
        <v>186230</v>
      </c>
      <c r="W58" t="str">
        <f t="shared" si="18"/>
        <v>CUADRADO (3-WAY OK)</v>
      </c>
      <c r="X58">
        <f>SUMIFS(Detalle_OT!$I$2:$I$592,Detalle_OT!$B$2:$B$592,A58)</f>
        <v>372460</v>
      </c>
      <c r="Y58">
        <f>SUMIFS(Detalle_OT!$H$2:$H$592,Detalle_OT!$B$2:$B$592,A58,Detalle_OT!$C$2:$C$592,"Repuesto")</f>
        <v>260260</v>
      </c>
      <c r="Z58">
        <f>SUMIFS(Detalle_OT!$H$2:$H$592,Detalle_OT!$B$2:$B$592,A58,Detalle_OT!$C$2:$C$592,"Mano de Obra")</f>
        <v>28000</v>
      </c>
      <c r="AA58">
        <f t="shared" si="19"/>
        <v>84200</v>
      </c>
      <c r="AB58">
        <f t="shared" si="20"/>
        <v>0.22606454384363422</v>
      </c>
      <c r="AC58" t="str">
        <f t="shared" si="21"/>
        <v>Margen No Negativo Confirmado</v>
      </c>
      <c r="AD58" t="str">
        <f t="shared" si="22"/>
        <v>2026-07</v>
      </c>
      <c r="AE58" t="str">
        <f t="shared" si="23"/>
        <v>Semana 29</v>
      </c>
      <c r="AF58">
        <f t="shared" si="24"/>
        <v>3</v>
      </c>
      <c r="AG58">
        <f t="shared" si="25"/>
        <v>1</v>
      </c>
      <c r="AH58">
        <f>IF(AND(G58="",OR(I58="En Curso",I58="Reprogramada"),F58&lt;Dashboard!$B$5),1,0)</f>
        <v>0</v>
      </c>
      <c r="AI58">
        <f t="shared" si="26"/>
        <v>0</v>
      </c>
      <c r="AJ58">
        <f t="shared" si="27"/>
        <v>0</v>
      </c>
      <c r="AK58">
        <f>IF(SUMIFS(Detalle_OT!$J$2:$J$592,Detalle_OT!$B$2:$B$592,A58)&gt;0,1,0)</f>
        <v>0</v>
      </c>
      <c r="AL58">
        <f>IF(AND(OR(Dashboard!$D$5="Todos",AD58=Dashboard!$D$5),OR(Dashboard!$F$5="Todos",D58=Dashboard!$F$5),OR(Dashboard!$H$5="Todos",I58=Dashboard!$H$5)),1,0)</f>
        <v>1</v>
      </c>
      <c r="AM58">
        <f>IF(AND(OR(Control_Mandante!$C$4="Todos", AD58=Control_Mandante!$C$4), OR(Control_Mandante!$F$4="Todos", B58=Control_Mandante!$F$4), OR(Control_Mandante!$I$4="Todos", W58=Control_Mandante!$I$4), OR(Control_Mandante!$L$4="Todos", H58=Control_Mandante!$L$4)), 1, 0)</f>
        <v>1</v>
      </c>
      <c r="AN58" t="str">
        <f>IF(AH58=1, COUNTIF(AH$2:AH58, 1), "")</f>
        <v/>
      </c>
      <c r="AO58" t="str">
        <f>IF(AJ58=1, COUNTIF(AJ$2:AJ58, 1), "")</f>
        <v/>
      </c>
      <c r="AP58" t="str">
        <f>IF(AK58=1, COUNTIF(AK$2:AK58, 1), "")</f>
        <v/>
      </c>
    </row>
    <row r="59" spans="1:42" x14ac:dyDescent="0.25">
      <c r="A59" t="s">
        <v>560</v>
      </c>
      <c r="B59" t="s">
        <v>187</v>
      </c>
      <c r="C59" t="s">
        <v>561</v>
      </c>
      <c r="D59" t="s">
        <v>301</v>
      </c>
      <c r="E59" s="43">
        <v>46216</v>
      </c>
      <c r="F59" s="43">
        <v>46221</v>
      </c>
      <c r="G59" s="43">
        <v>46229</v>
      </c>
      <c r="H59" t="s">
        <v>229</v>
      </c>
      <c r="I59" t="s">
        <v>277</v>
      </c>
      <c r="J59" t="s">
        <v>562</v>
      </c>
      <c r="K59" s="43">
        <v>46216</v>
      </c>
      <c r="L59">
        <f t="shared" si="16"/>
        <v>1320820</v>
      </c>
      <c r="M59" t="s">
        <v>279</v>
      </c>
      <c r="N59" t="s">
        <v>563</v>
      </c>
      <c r="O59" s="43">
        <v>46217</v>
      </c>
      <c r="P59">
        <f t="shared" si="31"/>
        <v>1320820</v>
      </c>
      <c r="Q59" t="s">
        <v>281</v>
      </c>
      <c r="R59" t="s">
        <v>564</v>
      </c>
      <c r="S59" s="43">
        <v>46231</v>
      </c>
      <c r="T59">
        <f t="shared" si="32"/>
        <v>1320820</v>
      </c>
      <c r="U59">
        <f>T59</f>
        <v>1320820</v>
      </c>
      <c r="V59">
        <f t="shared" si="17"/>
        <v>0</v>
      </c>
      <c r="W59" t="str">
        <f t="shared" si="18"/>
        <v>CUADRADO (3-WAY OK)</v>
      </c>
      <c r="X59">
        <f>SUMIFS(Detalle_OT!$I$2:$I$592,Detalle_OT!$B$2:$B$592,A59)</f>
        <v>1320820</v>
      </c>
      <c r="Y59">
        <f>SUMIFS(Detalle_OT!$H$2:$H$592,Detalle_OT!$B$2:$B$592,A59,Detalle_OT!$C$2:$C$592,"Repuesto")</f>
        <v>836380</v>
      </c>
      <c r="Z59">
        <f>SUMIFS(Detalle_OT!$H$2:$H$592,Detalle_OT!$B$2:$B$592,A59,Detalle_OT!$C$2:$C$592,"Mano de Obra")</f>
        <v>108800</v>
      </c>
      <c r="AA59">
        <f t="shared" si="19"/>
        <v>375640</v>
      </c>
      <c r="AB59">
        <f t="shared" si="20"/>
        <v>0.28439908541663511</v>
      </c>
      <c r="AC59" t="str">
        <f t="shared" si="21"/>
        <v>Margen No Negativo Confirmado</v>
      </c>
      <c r="AD59" t="str">
        <f t="shared" si="22"/>
        <v>2026-07</v>
      </c>
      <c r="AE59" t="str">
        <f t="shared" si="23"/>
        <v>Semana 29</v>
      </c>
      <c r="AF59">
        <f t="shared" si="24"/>
        <v>13</v>
      </c>
      <c r="AG59">
        <f t="shared" si="25"/>
        <v>0</v>
      </c>
      <c r="AH59">
        <f>IF(AND(G59="",OR(I59="En Curso",I59="Reprogramada"),F59&lt;Dashboard!$B$5),1,0)</f>
        <v>0</v>
      </c>
      <c r="AI59">
        <f t="shared" si="26"/>
        <v>0</v>
      </c>
      <c r="AJ59">
        <f t="shared" si="27"/>
        <v>0</v>
      </c>
      <c r="AK59">
        <f>IF(SUMIFS(Detalle_OT!$J$2:$J$592,Detalle_OT!$B$2:$B$592,A59)&gt;0,1,0)</f>
        <v>0</v>
      </c>
      <c r="AL59">
        <f>IF(AND(OR(Dashboard!$D$5="Todos",AD59=Dashboard!$D$5),OR(Dashboard!$F$5="Todos",D59=Dashboard!$F$5),OR(Dashboard!$H$5="Todos",I59=Dashboard!$H$5)),1,0)</f>
        <v>1</v>
      </c>
      <c r="AM59">
        <f>IF(AND(OR(Control_Mandante!$C$4="Todos", AD59=Control_Mandante!$C$4), OR(Control_Mandante!$F$4="Todos", B59=Control_Mandante!$F$4), OR(Control_Mandante!$I$4="Todos", W59=Control_Mandante!$I$4), OR(Control_Mandante!$L$4="Todos", H59=Control_Mandante!$L$4)), 1, 0)</f>
        <v>1</v>
      </c>
      <c r="AN59" t="str">
        <f>IF(AH59=1, COUNTIF(AH$2:AH59, 1), "")</f>
        <v/>
      </c>
      <c r="AO59" t="str">
        <f>IF(AJ59=1, COUNTIF(AJ$2:AJ59, 1), "")</f>
        <v/>
      </c>
      <c r="AP59" t="str">
        <f>IF(AK59=1, COUNTIF(AK$2:AK59, 1), "")</f>
        <v/>
      </c>
    </row>
    <row r="60" spans="1:42" x14ac:dyDescent="0.25">
      <c r="A60" t="s">
        <v>565</v>
      </c>
      <c r="B60" t="s">
        <v>206</v>
      </c>
      <c r="C60" t="s">
        <v>566</v>
      </c>
      <c r="D60" t="s">
        <v>301</v>
      </c>
      <c r="E60" s="43">
        <v>46218</v>
      </c>
      <c r="F60" s="43">
        <v>46224</v>
      </c>
      <c r="G60" s="43">
        <v>46223</v>
      </c>
      <c r="H60" t="s">
        <v>220</v>
      </c>
      <c r="I60" t="s">
        <v>277</v>
      </c>
      <c r="J60" t="s">
        <v>567</v>
      </c>
      <c r="K60" s="43">
        <v>46218</v>
      </c>
      <c r="L60">
        <f t="shared" si="16"/>
        <v>245580</v>
      </c>
      <c r="M60" t="s">
        <v>279</v>
      </c>
      <c r="N60" t="s">
        <v>568</v>
      </c>
      <c r="O60" s="43">
        <v>46219</v>
      </c>
      <c r="P60">
        <f t="shared" si="31"/>
        <v>245580</v>
      </c>
      <c r="Q60" t="s">
        <v>281</v>
      </c>
      <c r="R60" t="s">
        <v>569</v>
      </c>
      <c r="S60" s="43">
        <v>46225</v>
      </c>
      <c r="T60">
        <f t="shared" si="32"/>
        <v>245580</v>
      </c>
      <c r="U60">
        <f>T60</f>
        <v>245580</v>
      </c>
      <c r="V60">
        <f t="shared" si="17"/>
        <v>0</v>
      </c>
      <c r="W60" t="str">
        <f t="shared" si="18"/>
        <v>CUADRADO (3-WAY OK)</v>
      </c>
      <c r="X60">
        <f>SUMIFS(Detalle_OT!$I$2:$I$592,Detalle_OT!$B$2:$B$592,A60)</f>
        <v>245580</v>
      </c>
      <c r="Y60">
        <f>SUMIFS(Detalle_OT!$H$2:$H$592,Detalle_OT!$B$2:$B$592,A60,Detalle_OT!$C$2:$C$592,"Repuesto")</f>
        <v>82230</v>
      </c>
      <c r="Z60">
        <f>SUMIFS(Detalle_OT!$H$2:$H$592,Detalle_OT!$B$2:$B$592,A60,Detalle_OT!$C$2:$C$592,"Mano de Obra")</f>
        <v>82200</v>
      </c>
      <c r="AA60">
        <f t="shared" si="19"/>
        <v>81150</v>
      </c>
      <c r="AB60">
        <f t="shared" si="20"/>
        <v>0.33044221842169558</v>
      </c>
      <c r="AC60" t="str">
        <f t="shared" si="21"/>
        <v>Margen No Negativo Confirmado</v>
      </c>
      <c r="AD60" t="str">
        <f t="shared" si="22"/>
        <v>2026-07</v>
      </c>
      <c r="AE60" t="str">
        <f t="shared" si="23"/>
        <v>Semana 29</v>
      </c>
      <c r="AF60">
        <f t="shared" si="24"/>
        <v>5</v>
      </c>
      <c r="AG60">
        <f t="shared" si="25"/>
        <v>1</v>
      </c>
      <c r="AH60">
        <f>IF(AND(G60="",OR(I60="En Curso",I60="Reprogramada"),F60&lt;Dashboard!$B$5),1,0)</f>
        <v>0</v>
      </c>
      <c r="AI60">
        <f t="shared" si="26"/>
        <v>0</v>
      </c>
      <c r="AJ60">
        <f t="shared" si="27"/>
        <v>0</v>
      </c>
      <c r="AK60">
        <f>IF(SUMIFS(Detalle_OT!$J$2:$J$592,Detalle_OT!$B$2:$B$592,A60)&gt;0,1,0)</f>
        <v>0</v>
      </c>
      <c r="AL60">
        <f>IF(AND(OR(Dashboard!$D$5="Todos",AD60=Dashboard!$D$5),OR(Dashboard!$F$5="Todos",D60=Dashboard!$F$5),OR(Dashboard!$H$5="Todos",I60=Dashboard!$H$5)),1,0)</f>
        <v>1</v>
      </c>
      <c r="AM60">
        <f>IF(AND(OR(Control_Mandante!$C$4="Todos", AD60=Control_Mandante!$C$4), OR(Control_Mandante!$F$4="Todos", B60=Control_Mandante!$F$4), OR(Control_Mandante!$I$4="Todos", W60=Control_Mandante!$I$4), OR(Control_Mandante!$L$4="Todos", H60=Control_Mandante!$L$4)), 1, 0)</f>
        <v>1</v>
      </c>
      <c r="AN60" t="str">
        <f>IF(AH60=1, COUNTIF(AH$2:AH60, 1), "")</f>
        <v/>
      </c>
      <c r="AO60" t="str">
        <f>IF(AJ60=1, COUNTIF(AJ$2:AJ60, 1), "")</f>
        <v/>
      </c>
      <c r="AP60" t="str">
        <f>IF(AK60=1, COUNTIF(AK$2:AK60, 1), "")</f>
        <v/>
      </c>
    </row>
    <row r="61" spans="1:42" x14ac:dyDescent="0.25">
      <c r="A61" t="s">
        <v>570</v>
      </c>
      <c r="B61" t="s">
        <v>187</v>
      </c>
      <c r="C61" t="s">
        <v>571</v>
      </c>
      <c r="D61" t="s">
        <v>276</v>
      </c>
      <c r="E61" s="43">
        <v>46219</v>
      </c>
      <c r="F61" s="43">
        <v>46221</v>
      </c>
      <c r="G61" s="43">
        <v>46219</v>
      </c>
      <c r="H61" t="s">
        <v>218</v>
      </c>
      <c r="I61" t="s">
        <v>277</v>
      </c>
      <c r="J61" t="s">
        <v>572</v>
      </c>
      <c r="K61" s="43">
        <v>46219</v>
      </c>
      <c r="L61">
        <f t="shared" si="16"/>
        <v>141710</v>
      </c>
      <c r="M61" t="s">
        <v>279</v>
      </c>
      <c r="N61" t="s">
        <v>573</v>
      </c>
      <c r="O61" s="43">
        <v>46220</v>
      </c>
      <c r="P61">
        <f t="shared" si="31"/>
        <v>141710</v>
      </c>
      <c r="Q61" t="s">
        <v>281</v>
      </c>
      <c r="R61" t="s">
        <v>574</v>
      </c>
      <c r="S61" s="43">
        <v>46221</v>
      </c>
      <c r="T61">
        <f t="shared" si="32"/>
        <v>141710</v>
      </c>
      <c r="U61">
        <f>T61*0.5</f>
        <v>70855</v>
      </c>
      <c r="V61">
        <f t="shared" si="17"/>
        <v>70855</v>
      </c>
      <c r="W61" t="str">
        <f t="shared" si="18"/>
        <v>CUADRADO (3-WAY OK)</v>
      </c>
      <c r="X61">
        <f>SUMIFS(Detalle_OT!$I$2:$I$592,Detalle_OT!$B$2:$B$592,A61)</f>
        <v>141710</v>
      </c>
      <c r="Y61">
        <f>SUMIFS(Detalle_OT!$H$2:$H$592,Detalle_OT!$B$2:$B$592,A61,Detalle_OT!$C$2:$C$592,"Repuesto")</f>
        <v>94570</v>
      </c>
      <c r="Z61">
        <f>SUMIFS(Detalle_OT!$H$2:$H$592,Detalle_OT!$B$2:$B$592,A61,Detalle_OT!$C$2:$C$592,"Mano de Obra")</f>
        <v>57500</v>
      </c>
      <c r="AA61">
        <f t="shared" si="19"/>
        <v>-10360</v>
      </c>
      <c r="AB61">
        <f t="shared" si="20"/>
        <v>-7.3107049608355096E-2</v>
      </c>
      <c r="AC61" t="str">
        <f t="shared" si="21"/>
        <v>Margen Negativo Confirmado</v>
      </c>
      <c r="AD61" t="str">
        <f t="shared" si="22"/>
        <v>2026-07</v>
      </c>
      <c r="AE61" t="str">
        <f t="shared" si="23"/>
        <v>Semana 29</v>
      </c>
      <c r="AF61">
        <f t="shared" si="24"/>
        <v>0</v>
      </c>
      <c r="AG61">
        <f t="shared" si="25"/>
        <v>1</v>
      </c>
      <c r="AH61">
        <f>IF(AND(G61="",OR(I61="En Curso",I61="Reprogramada"),F61&lt;Dashboard!$B$5),1,0)</f>
        <v>0</v>
      </c>
      <c r="AI61">
        <f t="shared" si="26"/>
        <v>0</v>
      </c>
      <c r="AJ61">
        <f t="shared" si="27"/>
        <v>0</v>
      </c>
      <c r="AK61">
        <f>IF(SUMIFS(Detalle_OT!$J$2:$J$592,Detalle_OT!$B$2:$B$592,A61)&gt;0,1,0)</f>
        <v>0</v>
      </c>
      <c r="AL61">
        <f>IF(AND(OR(Dashboard!$D$5="Todos",AD61=Dashboard!$D$5),OR(Dashboard!$F$5="Todos",D61=Dashboard!$F$5),OR(Dashboard!$H$5="Todos",I61=Dashboard!$H$5)),1,0)</f>
        <v>1</v>
      </c>
      <c r="AM61">
        <f>IF(AND(OR(Control_Mandante!$C$4="Todos", AD61=Control_Mandante!$C$4), OR(Control_Mandante!$F$4="Todos", B61=Control_Mandante!$F$4), OR(Control_Mandante!$I$4="Todos", W61=Control_Mandante!$I$4), OR(Control_Mandante!$L$4="Todos", H61=Control_Mandante!$L$4)), 1, 0)</f>
        <v>1</v>
      </c>
      <c r="AN61" t="str">
        <f>IF(AH61=1, COUNTIF(AH$2:AH61, 1), "")</f>
        <v/>
      </c>
      <c r="AO61" t="str">
        <f>IF(AJ61=1, COUNTIF(AJ$2:AJ61, 1), "")</f>
        <v/>
      </c>
      <c r="AP61" t="str">
        <f>IF(AK61=1, COUNTIF(AK$2:AK61, 1), "")</f>
        <v/>
      </c>
    </row>
    <row r="62" spans="1:42" x14ac:dyDescent="0.25">
      <c r="A62" t="s">
        <v>575</v>
      </c>
      <c r="B62" t="s">
        <v>206</v>
      </c>
      <c r="C62" t="s">
        <v>576</v>
      </c>
      <c r="D62" t="s">
        <v>301</v>
      </c>
      <c r="E62" s="43">
        <v>46220</v>
      </c>
      <c r="F62" s="43">
        <v>46225</v>
      </c>
      <c r="G62" s="43">
        <v>46223</v>
      </c>
      <c r="H62" t="s">
        <v>218</v>
      </c>
      <c r="I62" t="s">
        <v>277</v>
      </c>
      <c r="J62" t="s">
        <v>577</v>
      </c>
      <c r="K62" s="43">
        <v>46220</v>
      </c>
      <c r="L62">
        <f t="shared" si="16"/>
        <v>402510</v>
      </c>
      <c r="M62" t="s">
        <v>279</v>
      </c>
      <c r="N62" t="s">
        <v>578</v>
      </c>
      <c r="O62" s="43">
        <v>46221</v>
      </c>
      <c r="P62">
        <f t="shared" si="31"/>
        <v>402510</v>
      </c>
      <c r="Q62" t="s">
        <v>281</v>
      </c>
      <c r="R62" t="s">
        <v>579</v>
      </c>
      <c r="S62" s="43">
        <v>46225</v>
      </c>
      <c r="T62">
        <f t="shared" si="32"/>
        <v>402510</v>
      </c>
      <c r="U62">
        <f>T62</f>
        <v>402510</v>
      </c>
      <c r="V62">
        <f t="shared" si="17"/>
        <v>0</v>
      </c>
      <c r="W62" t="str">
        <f t="shared" si="18"/>
        <v>CUADRADO (3-WAY OK)</v>
      </c>
      <c r="X62">
        <f>SUMIFS(Detalle_OT!$I$2:$I$592,Detalle_OT!$B$2:$B$592,A62)</f>
        <v>402510</v>
      </c>
      <c r="Y62">
        <f>SUMIFS(Detalle_OT!$H$2:$H$592,Detalle_OT!$B$2:$B$592,A62,Detalle_OT!$C$2:$C$592,"Repuesto")</f>
        <v>225440</v>
      </c>
      <c r="Z62">
        <f>SUMIFS(Detalle_OT!$H$2:$H$592,Detalle_OT!$B$2:$B$592,A62,Detalle_OT!$C$2:$C$592,"Mano de Obra")</f>
        <v>69500</v>
      </c>
      <c r="AA62">
        <f t="shared" si="19"/>
        <v>107570</v>
      </c>
      <c r="AB62">
        <f t="shared" si="20"/>
        <v>0.26724801868276565</v>
      </c>
      <c r="AC62" t="str">
        <f t="shared" si="21"/>
        <v>Margen No Negativo Confirmado</v>
      </c>
      <c r="AD62" t="str">
        <f t="shared" si="22"/>
        <v>2026-07</v>
      </c>
      <c r="AE62" t="str">
        <f t="shared" si="23"/>
        <v>Semana 29</v>
      </c>
      <c r="AF62">
        <f t="shared" si="24"/>
        <v>3</v>
      </c>
      <c r="AG62">
        <f t="shared" si="25"/>
        <v>1</v>
      </c>
      <c r="AH62">
        <f>IF(AND(G62="",OR(I62="En Curso",I62="Reprogramada"),F62&lt;Dashboard!$B$5),1,0)</f>
        <v>0</v>
      </c>
      <c r="AI62">
        <f t="shared" si="26"/>
        <v>0</v>
      </c>
      <c r="AJ62">
        <f t="shared" si="27"/>
        <v>0</v>
      </c>
      <c r="AK62">
        <f>IF(SUMIFS(Detalle_OT!$J$2:$J$592,Detalle_OT!$B$2:$B$592,A62)&gt;0,1,0)</f>
        <v>0</v>
      </c>
      <c r="AL62">
        <f>IF(AND(OR(Dashboard!$D$5="Todos",AD62=Dashboard!$D$5),OR(Dashboard!$F$5="Todos",D62=Dashboard!$F$5),OR(Dashboard!$H$5="Todos",I62=Dashboard!$H$5)),1,0)</f>
        <v>1</v>
      </c>
      <c r="AM62">
        <f>IF(AND(OR(Control_Mandante!$C$4="Todos", AD62=Control_Mandante!$C$4), OR(Control_Mandante!$F$4="Todos", B62=Control_Mandante!$F$4), OR(Control_Mandante!$I$4="Todos", W62=Control_Mandante!$I$4), OR(Control_Mandante!$L$4="Todos", H62=Control_Mandante!$L$4)), 1, 0)</f>
        <v>1</v>
      </c>
      <c r="AN62" t="str">
        <f>IF(AH62=1, COUNTIF(AH$2:AH62, 1), "")</f>
        <v/>
      </c>
      <c r="AO62" t="str">
        <f>IF(AJ62=1, COUNTIF(AJ$2:AJ62, 1), "")</f>
        <v/>
      </c>
      <c r="AP62" t="str">
        <f>IF(AK62=1, COUNTIF(AK$2:AK62, 1), "")</f>
        <v/>
      </c>
    </row>
    <row r="63" spans="1:42" x14ac:dyDescent="0.25">
      <c r="A63" t="s">
        <v>580</v>
      </c>
      <c r="B63" t="s">
        <v>190</v>
      </c>
      <c r="C63" t="s">
        <v>581</v>
      </c>
      <c r="D63" t="s">
        <v>276</v>
      </c>
      <c r="E63" s="43">
        <v>46220</v>
      </c>
      <c r="F63" s="43">
        <v>46222</v>
      </c>
      <c r="G63" s="43">
        <v>46222</v>
      </c>
      <c r="H63" t="s">
        <v>220</v>
      </c>
      <c r="I63" t="s">
        <v>277</v>
      </c>
      <c r="J63" t="s">
        <v>582</v>
      </c>
      <c r="K63" s="43">
        <v>46220</v>
      </c>
      <c r="L63">
        <f t="shared" si="16"/>
        <v>351580</v>
      </c>
      <c r="M63" t="s">
        <v>279</v>
      </c>
      <c r="N63" t="s">
        <v>583</v>
      </c>
      <c r="O63" s="43">
        <v>46221</v>
      </c>
      <c r="P63">
        <f t="shared" si="31"/>
        <v>351580</v>
      </c>
      <c r="Q63" t="s">
        <v>281</v>
      </c>
      <c r="R63" t="s">
        <v>584</v>
      </c>
      <c r="S63" s="43">
        <v>46224</v>
      </c>
      <c r="T63">
        <f t="shared" si="32"/>
        <v>351580</v>
      </c>
      <c r="U63">
        <f>T63</f>
        <v>351580</v>
      </c>
      <c r="V63">
        <f t="shared" si="17"/>
        <v>0</v>
      </c>
      <c r="W63" t="str">
        <f t="shared" si="18"/>
        <v>CUADRADO (3-WAY OK)</v>
      </c>
      <c r="X63">
        <f>SUMIFS(Detalle_OT!$I$2:$I$592,Detalle_OT!$B$2:$B$592,A63)</f>
        <v>351580</v>
      </c>
      <c r="Y63">
        <f>SUMIFS(Detalle_OT!$H$2:$H$592,Detalle_OT!$B$2:$B$592,A63,Detalle_OT!$C$2:$C$592,"Repuesto")</f>
        <v>118800</v>
      </c>
      <c r="Z63">
        <f>SUMIFS(Detalle_OT!$H$2:$H$592,Detalle_OT!$B$2:$B$592,A63,Detalle_OT!$C$2:$C$592,"Mano de Obra")</f>
        <v>95400</v>
      </c>
      <c r="AA63">
        <f t="shared" si="19"/>
        <v>137380</v>
      </c>
      <c r="AB63">
        <f t="shared" si="20"/>
        <v>0.39075032709482904</v>
      </c>
      <c r="AC63" t="str">
        <f t="shared" si="21"/>
        <v>Margen No Negativo Confirmado</v>
      </c>
      <c r="AD63" t="str">
        <f t="shared" si="22"/>
        <v>2026-07</v>
      </c>
      <c r="AE63" t="str">
        <f t="shared" si="23"/>
        <v>Semana 29</v>
      </c>
      <c r="AF63">
        <f t="shared" si="24"/>
        <v>2</v>
      </c>
      <c r="AG63">
        <f t="shared" si="25"/>
        <v>1</v>
      </c>
      <c r="AH63">
        <f>IF(AND(G63="",OR(I63="En Curso",I63="Reprogramada"),F63&lt;Dashboard!$B$5),1,0)</f>
        <v>0</v>
      </c>
      <c r="AI63">
        <f t="shared" si="26"/>
        <v>0</v>
      </c>
      <c r="AJ63">
        <f t="shared" si="27"/>
        <v>0</v>
      </c>
      <c r="AK63">
        <f>IF(SUMIFS(Detalle_OT!$J$2:$J$592,Detalle_OT!$B$2:$B$592,A63)&gt;0,1,0)</f>
        <v>0</v>
      </c>
      <c r="AL63">
        <f>IF(AND(OR(Dashboard!$D$5="Todos",AD63=Dashboard!$D$5),OR(Dashboard!$F$5="Todos",D63=Dashboard!$F$5),OR(Dashboard!$H$5="Todos",I63=Dashboard!$H$5)),1,0)</f>
        <v>1</v>
      </c>
      <c r="AM63">
        <f>IF(AND(OR(Control_Mandante!$C$4="Todos", AD63=Control_Mandante!$C$4), OR(Control_Mandante!$F$4="Todos", B63=Control_Mandante!$F$4), OR(Control_Mandante!$I$4="Todos", W63=Control_Mandante!$I$4), OR(Control_Mandante!$L$4="Todos", H63=Control_Mandante!$L$4)), 1, 0)</f>
        <v>1</v>
      </c>
      <c r="AN63" t="str">
        <f>IF(AH63=1, COUNTIF(AH$2:AH63, 1), "")</f>
        <v/>
      </c>
      <c r="AO63" t="str">
        <f>IF(AJ63=1, COUNTIF(AJ$2:AJ63, 1), "")</f>
        <v/>
      </c>
      <c r="AP63" t="str">
        <f>IF(AK63=1, COUNTIF(AK$2:AK63, 1), "")</f>
        <v/>
      </c>
    </row>
    <row r="64" spans="1:42" x14ac:dyDescent="0.25">
      <c r="A64" t="s">
        <v>585</v>
      </c>
      <c r="B64" t="s">
        <v>209</v>
      </c>
      <c r="C64" t="s">
        <v>586</v>
      </c>
      <c r="D64" t="s">
        <v>276</v>
      </c>
      <c r="E64" s="43">
        <v>46222</v>
      </c>
      <c r="F64" s="43">
        <v>46224</v>
      </c>
      <c r="G64" s="43">
        <v>46224</v>
      </c>
      <c r="H64" t="s">
        <v>218</v>
      </c>
      <c r="I64" t="s">
        <v>277</v>
      </c>
      <c r="J64" t="s">
        <v>587</v>
      </c>
      <c r="K64" s="43">
        <v>46222</v>
      </c>
      <c r="L64">
        <f t="shared" si="16"/>
        <v>288310</v>
      </c>
      <c r="M64" t="s">
        <v>279</v>
      </c>
      <c r="N64" t="s">
        <v>588</v>
      </c>
      <c r="O64" s="43">
        <v>46223</v>
      </c>
      <c r="P64">
        <f t="shared" si="31"/>
        <v>288310</v>
      </c>
      <c r="Q64" t="s">
        <v>281</v>
      </c>
      <c r="R64" t="s">
        <v>589</v>
      </c>
      <c r="S64" s="43">
        <v>46226</v>
      </c>
      <c r="T64">
        <f t="shared" si="32"/>
        <v>288310</v>
      </c>
      <c r="U64">
        <f>T64*0.5</f>
        <v>144155</v>
      </c>
      <c r="V64">
        <f t="shared" si="17"/>
        <v>144155</v>
      </c>
      <c r="W64" t="str">
        <f t="shared" si="18"/>
        <v>CUADRADO (3-WAY OK)</v>
      </c>
      <c r="X64">
        <f>SUMIFS(Detalle_OT!$I$2:$I$592,Detalle_OT!$B$2:$B$592,A64)</f>
        <v>288310</v>
      </c>
      <c r="Y64">
        <f>SUMIFS(Detalle_OT!$H$2:$H$592,Detalle_OT!$B$2:$B$592,A64,Detalle_OT!$C$2:$C$592,"Repuesto")</f>
        <v>75650</v>
      </c>
      <c r="Z64">
        <f>SUMIFS(Detalle_OT!$H$2:$H$592,Detalle_OT!$B$2:$B$592,A64,Detalle_OT!$C$2:$C$592,"Mano de Obra")</f>
        <v>41700</v>
      </c>
      <c r="AA64" t="str">
        <f t="shared" si="19"/>
        <v/>
      </c>
      <c r="AB64" t="str">
        <f t="shared" si="20"/>
        <v/>
      </c>
      <c r="AC64" t="str">
        <f t="shared" si="21"/>
        <v>Pendiente de Validación</v>
      </c>
      <c r="AD64" t="str">
        <f t="shared" si="22"/>
        <v>2026-07</v>
      </c>
      <c r="AE64" t="str">
        <f t="shared" si="23"/>
        <v>Semana 30</v>
      </c>
      <c r="AF64">
        <f t="shared" si="24"/>
        <v>2</v>
      </c>
      <c r="AG64">
        <f t="shared" si="25"/>
        <v>1</v>
      </c>
      <c r="AH64">
        <f>IF(AND(G64="",OR(I64="En Curso",I64="Reprogramada"),F64&lt;Dashboard!$B$5),1,0)</f>
        <v>0</v>
      </c>
      <c r="AI64">
        <f t="shared" si="26"/>
        <v>0</v>
      </c>
      <c r="AJ64">
        <f t="shared" si="27"/>
        <v>0</v>
      </c>
      <c r="AK64">
        <f>IF(SUMIFS(Detalle_OT!$J$2:$J$592,Detalle_OT!$B$2:$B$592,A64)&gt;0,1,0)</f>
        <v>1</v>
      </c>
      <c r="AL64">
        <f>IF(AND(OR(Dashboard!$D$5="Todos",AD64=Dashboard!$D$5),OR(Dashboard!$F$5="Todos",D64=Dashboard!$F$5),OR(Dashboard!$H$5="Todos",I64=Dashboard!$H$5)),1,0)</f>
        <v>1</v>
      </c>
      <c r="AM64">
        <f>IF(AND(OR(Control_Mandante!$C$4="Todos", AD64=Control_Mandante!$C$4), OR(Control_Mandante!$F$4="Todos", B64=Control_Mandante!$F$4), OR(Control_Mandante!$I$4="Todos", W64=Control_Mandante!$I$4), OR(Control_Mandante!$L$4="Todos", H64=Control_Mandante!$L$4)), 1, 0)</f>
        <v>1</v>
      </c>
      <c r="AN64" t="str">
        <f>IF(AH64=1, COUNTIF(AH$2:AH64, 1), "")</f>
        <v/>
      </c>
      <c r="AO64" t="str">
        <f>IF(AJ64=1, COUNTIF(AJ$2:AJ64, 1), "")</f>
        <v/>
      </c>
      <c r="AP64">
        <f>IF(AK64=1, COUNTIF(AK$2:AK64, 1), "")</f>
        <v>2</v>
      </c>
    </row>
    <row r="65" spans="1:42" x14ac:dyDescent="0.25">
      <c r="A65" t="s">
        <v>590</v>
      </c>
      <c r="B65" t="s">
        <v>187</v>
      </c>
      <c r="C65" t="s">
        <v>591</v>
      </c>
      <c r="D65" t="s">
        <v>301</v>
      </c>
      <c r="E65" s="43">
        <v>46222</v>
      </c>
      <c r="F65" s="43">
        <v>46230</v>
      </c>
      <c r="H65" t="s">
        <v>232</v>
      </c>
      <c r="I65" t="s">
        <v>592</v>
      </c>
      <c r="J65" t="s">
        <v>593</v>
      </c>
      <c r="K65" s="43">
        <v>46222</v>
      </c>
      <c r="L65">
        <f t="shared" si="16"/>
        <v>488320</v>
      </c>
      <c r="M65" t="s">
        <v>279</v>
      </c>
      <c r="N65" t="s">
        <v>594</v>
      </c>
      <c r="O65" s="43">
        <v>46223</v>
      </c>
      <c r="P65">
        <f t="shared" si="31"/>
        <v>488320</v>
      </c>
      <c r="Q65" t="s">
        <v>281</v>
      </c>
      <c r="T65">
        <v>0</v>
      </c>
      <c r="U65">
        <v>0</v>
      </c>
      <c r="V65">
        <f t="shared" si="17"/>
        <v>0</v>
      </c>
      <c r="W65" t="str">
        <f t="shared" si="18"/>
        <v>OC Recibida - Pendiente Factura</v>
      </c>
      <c r="X65">
        <f>SUMIFS(Detalle_OT!$I$2:$I$592,Detalle_OT!$B$2:$B$592,A65)</f>
        <v>488320</v>
      </c>
      <c r="Y65">
        <f>SUMIFS(Detalle_OT!$H$2:$H$592,Detalle_OT!$B$2:$B$592,A65,Detalle_OT!$C$2:$C$592,"Repuesto")</f>
        <v>324800</v>
      </c>
      <c r="Z65">
        <f>SUMIFS(Detalle_OT!$H$2:$H$592,Detalle_OT!$B$2:$B$592,A65,Detalle_OT!$C$2:$C$592,"Mano de Obra")</f>
        <v>74000</v>
      </c>
      <c r="AA65">
        <f t="shared" si="19"/>
        <v>89520</v>
      </c>
      <c r="AB65">
        <f t="shared" si="20"/>
        <v>0.18332241153342071</v>
      </c>
      <c r="AC65" t="str">
        <f t="shared" si="21"/>
        <v>Margen No Negativo Confirmado</v>
      </c>
      <c r="AD65" t="str">
        <f t="shared" si="22"/>
        <v>2026-07</v>
      </c>
      <c r="AE65" t="str">
        <f t="shared" si="23"/>
        <v>Semana 30</v>
      </c>
      <c r="AF65" t="str">
        <f t="shared" si="24"/>
        <v/>
      </c>
      <c r="AG65" t="str">
        <f t="shared" si="25"/>
        <v/>
      </c>
      <c r="AH65">
        <f>IF(AND(G65="",OR(I65="En Curso",I65="Reprogramada"),F65&lt;Dashboard!$B$5),1,0)</f>
        <v>1</v>
      </c>
      <c r="AI65">
        <f t="shared" si="26"/>
        <v>0</v>
      </c>
      <c r="AJ65">
        <f t="shared" si="27"/>
        <v>0</v>
      </c>
      <c r="AK65">
        <f>IF(SUMIFS(Detalle_OT!$J$2:$J$592,Detalle_OT!$B$2:$B$592,A65)&gt;0,1,0)</f>
        <v>0</v>
      </c>
      <c r="AL65">
        <f>IF(AND(OR(Dashboard!$D$5="Todos",AD65=Dashboard!$D$5),OR(Dashboard!$F$5="Todos",D65=Dashboard!$F$5),OR(Dashboard!$H$5="Todos",I65=Dashboard!$H$5)),1,0)</f>
        <v>1</v>
      </c>
      <c r="AM65">
        <f>IF(AND(OR(Control_Mandante!$C$4="Todos", AD65=Control_Mandante!$C$4), OR(Control_Mandante!$F$4="Todos", B65=Control_Mandante!$F$4), OR(Control_Mandante!$I$4="Todos", W65=Control_Mandante!$I$4), OR(Control_Mandante!$L$4="Todos", H65=Control_Mandante!$L$4)), 1, 0)</f>
        <v>1</v>
      </c>
      <c r="AN65">
        <f>IF(AH65=1, COUNTIF(AH$2:AH65, 1), "")</f>
        <v>3</v>
      </c>
      <c r="AO65" t="str">
        <f>IF(AJ65=1, COUNTIF(AJ$2:AJ65, 1), "")</f>
        <v/>
      </c>
      <c r="AP65" t="str">
        <f>IF(AK65=1, COUNTIF(AK$2:AK65, 1), "")</f>
        <v/>
      </c>
    </row>
    <row r="66" spans="1:42" x14ac:dyDescent="0.25">
      <c r="A66" t="s">
        <v>595</v>
      </c>
      <c r="B66" t="s">
        <v>193</v>
      </c>
      <c r="C66" t="s">
        <v>596</v>
      </c>
      <c r="D66" t="s">
        <v>276</v>
      </c>
      <c r="E66" s="43">
        <v>46225</v>
      </c>
      <c r="F66" s="43">
        <v>46228</v>
      </c>
      <c r="G66" s="43">
        <v>46228</v>
      </c>
      <c r="H66" t="s">
        <v>215</v>
      </c>
      <c r="I66" t="s">
        <v>277</v>
      </c>
      <c r="J66" t="s">
        <v>597</v>
      </c>
      <c r="K66" s="43">
        <v>46225</v>
      </c>
      <c r="L66">
        <f t="shared" ref="L66:L97" si="33">X66</f>
        <v>739940</v>
      </c>
      <c r="M66" t="s">
        <v>279</v>
      </c>
      <c r="N66" t="s">
        <v>598</v>
      </c>
      <c r="O66" s="43">
        <v>46226</v>
      </c>
      <c r="P66">
        <f t="shared" si="31"/>
        <v>739940</v>
      </c>
      <c r="Q66" t="s">
        <v>281</v>
      </c>
      <c r="R66" t="s">
        <v>599</v>
      </c>
      <c r="S66" s="43">
        <v>46230</v>
      </c>
      <c r="T66">
        <f t="shared" ref="T66:T87" si="34">X66</f>
        <v>739940</v>
      </c>
      <c r="U66">
        <f>T66</f>
        <v>739940</v>
      </c>
      <c r="V66">
        <f t="shared" ref="V66:V97" si="35">IF(R66&lt;&gt;"", T66-U66, 0)</f>
        <v>0</v>
      </c>
      <c r="W66" t="str">
        <f t="shared" ref="W66:W97" si="36">IF(OR(M66="Pendiente", M66="Rechazado"), "Presupuesto No Aprobado", IF(N66="", "Falta OC Mandante", IF(R66="", "OC Recibida - Pendiente Factura", IF(AND(L66=P66, P66=T66), "CUADRADO (3-WAY OK)", "DESCUADRE DE MONTOS"))))</f>
        <v>CUADRADO (3-WAY OK)</v>
      </c>
      <c r="X66">
        <f>SUMIFS(Detalle_OT!$I$2:$I$592,Detalle_OT!$B$2:$B$592,A66)</f>
        <v>739940</v>
      </c>
      <c r="Y66">
        <f>SUMIFS(Detalle_OT!$H$2:$H$592,Detalle_OT!$B$2:$B$592,A66,Detalle_OT!$C$2:$C$592,"Repuesto")</f>
        <v>473600</v>
      </c>
      <c r="Z66">
        <f>SUMIFS(Detalle_OT!$H$2:$H$592,Detalle_OT!$B$2:$B$592,A66,Detalle_OT!$C$2:$C$592,"Mano de Obra")</f>
        <v>37800</v>
      </c>
      <c r="AA66">
        <f t="shared" ref="AA66:AA97" si="37">IF(AK66=1, "", X66-Y66-Z66)</f>
        <v>228540</v>
      </c>
      <c r="AB66">
        <f t="shared" ref="AB66:AB97" si="38">IF(OR(AK66=1, X66=0, ISBLANK(X66)), "", AA66/X66)</f>
        <v>0.30886288077411683</v>
      </c>
      <c r="AC66" t="str">
        <f t="shared" ref="AC66:AC97" si="39">IF(AK66=1, "Pendiente de Validación", IF(AA66&lt;0, "Margen Negativo Confirmado", "Margen No Negativo Confirmado"))</f>
        <v>Margen No Negativo Confirmado</v>
      </c>
      <c r="AD66" t="str">
        <f t="shared" ref="AD66:AD97" si="40">YEAR(E66)&amp;"-"&amp;TEXT(MONTH(E66),"00")</f>
        <v>2026-07</v>
      </c>
      <c r="AE66" t="str">
        <f t="shared" ref="AE66:AE97" si="41">"Semana "&amp;WEEKNUM(E66)</f>
        <v>Semana 30</v>
      </c>
      <c r="AF66">
        <f t="shared" ref="AF66:AF97" si="42">IF(G66&lt;&gt;"", G66-E66, "")</f>
        <v>3</v>
      </c>
      <c r="AG66">
        <f t="shared" ref="AG66:AG97" si="43">IF(G66="","",IF(G66&lt;=F66,1,0))</f>
        <v>1</v>
      </c>
      <c r="AH66">
        <f>IF(AND(G66="",OR(I66="En Curso",I66="Reprogramada"),F66&lt;Dashboard!$B$5),1,0)</f>
        <v>0</v>
      </c>
      <c r="AI66">
        <f t="shared" ref="AI66:AI97" si="44">IF(AND(M66="Aprobado", N66=""), 1, 0)</f>
        <v>0</v>
      </c>
      <c r="AJ66">
        <f t="shared" ref="AJ66:AJ97" si="45">IF(AND(OR(I66="Terminada",I66="Entregada"), R66=""), 1, 0)</f>
        <v>0</v>
      </c>
      <c r="AK66">
        <f>IF(SUMIFS(Detalle_OT!$J$2:$J$592,Detalle_OT!$B$2:$B$592,A66)&gt;0,1,0)</f>
        <v>0</v>
      </c>
      <c r="AL66">
        <f>IF(AND(OR(Dashboard!$D$5="Todos",AD66=Dashboard!$D$5),OR(Dashboard!$F$5="Todos",D66=Dashboard!$F$5),OR(Dashboard!$H$5="Todos",I66=Dashboard!$H$5)),1,0)</f>
        <v>1</v>
      </c>
      <c r="AM66">
        <f>IF(AND(OR(Control_Mandante!$C$4="Todos", AD66=Control_Mandante!$C$4), OR(Control_Mandante!$F$4="Todos", B66=Control_Mandante!$F$4), OR(Control_Mandante!$I$4="Todos", W66=Control_Mandante!$I$4), OR(Control_Mandante!$L$4="Todos", H66=Control_Mandante!$L$4)), 1, 0)</f>
        <v>1</v>
      </c>
      <c r="AN66" t="str">
        <f>IF(AH66=1, COUNTIF(AH$2:AH66, 1), "")</f>
        <v/>
      </c>
      <c r="AO66" t="str">
        <f>IF(AJ66=1, COUNTIF(AJ$2:AJ66, 1), "")</f>
        <v/>
      </c>
      <c r="AP66" t="str">
        <f>IF(AK66=1, COUNTIF(AK$2:AK66, 1), "")</f>
        <v/>
      </c>
    </row>
    <row r="67" spans="1:42" x14ac:dyDescent="0.25">
      <c r="A67" t="s">
        <v>600</v>
      </c>
      <c r="B67" t="s">
        <v>187</v>
      </c>
      <c r="C67" t="s">
        <v>601</v>
      </c>
      <c r="D67" t="s">
        <v>301</v>
      </c>
      <c r="E67" s="43">
        <v>46225</v>
      </c>
      <c r="F67" s="43">
        <v>46229</v>
      </c>
      <c r="G67" s="43">
        <v>46234</v>
      </c>
      <c r="H67" t="s">
        <v>218</v>
      </c>
      <c r="I67" t="s">
        <v>277</v>
      </c>
      <c r="J67" t="s">
        <v>602</v>
      </c>
      <c r="K67" s="43">
        <v>46225</v>
      </c>
      <c r="L67">
        <f t="shared" si="33"/>
        <v>507840</v>
      </c>
      <c r="M67" t="s">
        <v>279</v>
      </c>
      <c r="N67" t="s">
        <v>603</v>
      </c>
      <c r="O67" s="43">
        <v>46226</v>
      </c>
      <c r="P67">
        <f t="shared" si="31"/>
        <v>507840</v>
      </c>
      <c r="Q67" t="s">
        <v>281</v>
      </c>
      <c r="R67" t="s">
        <v>604</v>
      </c>
      <c r="S67" s="43">
        <v>46236</v>
      </c>
      <c r="T67">
        <f t="shared" si="34"/>
        <v>507840</v>
      </c>
      <c r="U67">
        <f>T67*0.5</f>
        <v>253920</v>
      </c>
      <c r="V67">
        <f t="shared" si="35"/>
        <v>253920</v>
      </c>
      <c r="W67" t="str">
        <f t="shared" si="36"/>
        <v>CUADRADO (3-WAY OK)</v>
      </c>
      <c r="X67">
        <f>SUMIFS(Detalle_OT!$I$2:$I$592,Detalle_OT!$B$2:$B$592,A67)</f>
        <v>507840</v>
      </c>
      <c r="Y67">
        <f>SUMIFS(Detalle_OT!$H$2:$H$592,Detalle_OT!$B$2:$B$592,A67,Detalle_OT!$C$2:$C$592,"Repuesto")</f>
        <v>155700</v>
      </c>
      <c r="Z67">
        <f>SUMIFS(Detalle_OT!$H$2:$H$592,Detalle_OT!$B$2:$B$592,A67,Detalle_OT!$C$2:$C$592,"Mano de Obra")</f>
        <v>166600</v>
      </c>
      <c r="AA67">
        <f t="shared" si="37"/>
        <v>185540</v>
      </c>
      <c r="AB67">
        <f t="shared" si="38"/>
        <v>0.36535129174543163</v>
      </c>
      <c r="AC67" t="str">
        <f t="shared" si="39"/>
        <v>Margen No Negativo Confirmado</v>
      </c>
      <c r="AD67" t="str">
        <f t="shared" si="40"/>
        <v>2026-07</v>
      </c>
      <c r="AE67" t="str">
        <f t="shared" si="41"/>
        <v>Semana 30</v>
      </c>
      <c r="AF67">
        <f t="shared" si="42"/>
        <v>9</v>
      </c>
      <c r="AG67">
        <f t="shared" si="43"/>
        <v>0</v>
      </c>
      <c r="AH67">
        <f>IF(AND(G67="",OR(I67="En Curso",I67="Reprogramada"),F67&lt;Dashboard!$B$5),1,0)</f>
        <v>0</v>
      </c>
      <c r="AI67">
        <f t="shared" si="44"/>
        <v>0</v>
      </c>
      <c r="AJ67">
        <f t="shared" si="45"/>
        <v>0</v>
      </c>
      <c r="AK67">
        <f>IF(SUMIFS(Detalle_OT!$J$2:$J$592,Detalle_OT!$B$2:$B$592,A67)&gt;0,1,0)</f>
        <v>0</v>
      </c>
      <c r="AL67">
        <f>IF(AND(OR(Dashboard!$D$5="Todos",AD67=Dashboard!$D$5),OR(Dashboard!$F$5="Todos",D67=Dashboard!$F$5),OR(Dashboard!$H$5="Todos",I67=Dashboard!$H$5)),1,0)</f>
        <v>1</v>
      </c>
      <c r="AM67">
        <f>IF(AND(OR(Control_Mandante!$C$4="Todos", AD67=Control_Mandante!$C$4), OR(Control_Mandante!$F$4="Todos", B67=Control_Mandante!$F$4), OR(Control_Mandante!$I$4="Todos", W67=Control_Mandante!$I$4), OR(Control_Mandante!$L$4="Todos", H67=Control_Mandante!$L$4)), 1, 0)</f>
        <v>1</v>
      </c>
      <c r="AN67" t="str">
        <f>IF(AH67=1, COUNTIF(AH$2:AH67, 1), "")</f>
        <v/>
      </c>
      <c r="AO67" t="str">
        <f>IF(AJ67=1, COUNTIF(AJ$2:AJ67, 1), "")</f>
        <v/>
      </c>
      <c r="AP67" t="str">
        <f>IF(AK67=1, COUNTIF(AK$2:AK67, 1), "")</f>
        <v/>
      </c>
    </row>
    <row r="68" spans="1:42" x14ac:dyDescent="0.25">
      <c r="A68" t="s">
        <v>605</v>
      </c>
      <c r="B68" t="s">
        <v>174</v>
      </c>
      <c r="C68" t="s">
        <v>606</v>
      </c>
      <c r="D68" t="s">
        <v>301</v>
      </c>
      <c r="E68" s="43">
        <v>46225</v>
      </c>
      <c r="F68" s="43">
        <v>46230</v>
      </c>
      <c r="G68" s="43">
        <v>46230</v>
      </c>
      <c r="H68" t="s">
        <v>220</v>
      </c>
      <c r="I68" t="s">
        <v>277</v>
      </c>
      <c r="J68" t="s">
        <v>607</v>
      </c>
      <c r="K68" s="43">
        <v>46225</v>
      </c>
      <c r="L68">
        <f t="shared" si="33"/>
        <v>964640</v>
      </c>
      <c r="M68" t="s">
        <v>279</v>
      </c>
      <c r="N68" t="s">
        <v>608</v>
      </c>
      <c r="O68" s="43">
        <v>46226</v>
      </c>
      <c r="P68">
        <f t="shared" si="31"/>
        <v>964640</v>
      </c>
      <c r="Q68" t="s">
        <v>281</v>
      </c>
      <c r="R68" t="s">
        <v>609</v>
      </c>
      <c r="S68" s="43">
        <v>46232</v>
      </c>
      <c r="T68">
        <f t="shared" si="34"/>
        <v>964640</v>
      </c>
      <c r="U68">
        <f>T68</f>
        <v>964640</v>
      </c>
      <c r="V68">
        <f t="shared" si="35"/>
        <v>0</v>
      </c>
      <c r="W68" t="str">
        <f t="shared" si="36"/>
        <v>CUADRADO (3-WAY OK)</v>
      </c>
      <c r="X68">
        <f>SUMIFS(Detalle_OT!$I$2:$I$592,Detalle_OT!$B$2:$B$592,A68)</f>
        <v>964640</v>
      </c>
      <c r="Y68">
        <f>SUMIFS(Detalle_OT!$H$2:$H$592,Detalle_OT!$B$2:$B$592,A68,Detalle_OT!$C$2:$C$592,"Repuesto")</f>
        <v>503400</v>
      </c>
      <c r="Z68">
        <f>SUMIFS(Detalle_OT!$H$2:$H$592,Detalle_OT!$B$2:$B$592,A68,Detalle_OT!$C$2:$C$592,"Mano de Obra")</f>
        <v>156300</v>
      </c>
      <c r="AA68">
        <f t="shared" si="37"/>
        <v>304940</v>
      </c>
      <c r="AB68">
        <f t="shared" si="38"/>
        <v>0.31611793000497596</v>
      </c>
      <c r="AC68" t="str">
        <f t="shared" si="39"/>
        <v>Margen No Negativo Confirmado</v>
      </c>
      <c r="AD68" t="str">
        <f t="shared" si="40"/>
        <v>2026-07</v>
      </c>
      <c r="AE68" t="str">
        <f t="shared" si="41"/>
        <v>Semana 30</v>
      </c>
      <c r="AF68">
        <f t="shared" si="42"/>
        <v>5</v>
      </c>
      <c r="AG68">
        <f t="shared" si="43"/>
        <v>1</v>
      </c>
      <c r="AH68">
        <f>IF(AND(G68="",OR(I68="En Curso",I68="Reprogramada"),F68&lt;Dashboard!$B$5),1,0)</f>
        <v>0</v>
      </c>
      <c r="AI68">
        <f t="shared" si="44"/>
        <v>0</v>
      </c>
      <c r="AJ68">
        <f t="shared" si="45"/>
        <v>0</v>
      </c>
      <c r="AK68">
        <f>IF(SUMIFS(Detalle_OT!$J$2:$J$592,Detalle_OT!$B$2:$B$592,A68)&gt;0,1,0)</f>
        <v>0</v>
      </c>
      <c r="AL68">
        <f>IF(AND(OR(Dashboard!$D$5="Todos",AD68=Dashboard!$D$5),OR(Dashboard!$F$5="Todos",D68=Dashboard!$F$5),OR(Dashboard!$H$5="Todos",I68=Dashboard!$H$5)),1,0)</f>
        <v>1</v>
      </c>
      <c r="AM68">
        <f>IF(AND(OR(Control_Mandante!$C$4="Todos", AD68=Control_Mandante!$C$4), OR(Control_Mandante!$F$4="Todos", B68=Control_Mandante!$F$4), OR(Control_Mandante!$I$4="Todos", W68=Control_Mandante!$I$4), OR(Control_Mandante!$L$4="Todos", H68=Control_Mandante!$L$4)), 1, 0)</f>
        <v>1</v>
      </c>
      <c r="AN68" t="str">
        <f>IF(AH68=1, COUNTIF(AH$2:AH68, 1), "")</f>
        <v/>
      </c>
      <c r="AO68" t="str">
        <f>IF(AJ68=1, COUNTIF(AJ$2:AJ68, 1), "")</f>
        <v/>
      </c>
      <c r="AP68" t="str">
        <f>IF(AK68=1, COUNTIF(AK$2:AK68, 1), "")</f>
        <v/>
      </c>
    </row>
    <row r="69" spans="1:42" x14ac:dyDescent="0.25">
      <c r="A69" t="s">
        <v>610</v>
      </c>
      <c r="B69" t="s">
        <v>171</v>
      </c>
      <c r="C69" t="s">
        <v>611</v>
      </c>
      <c r="D69" t="s">
        <v>301</v>
      </c>
      <c r="E69" s="43">
        <v>46226</v>
      </c>
      <c r="F69" s="43">
        <v>46232</v>
      </c>
      <c r="G69" s="43">
        <v>46232</v>
      </c>
      <c r="H69" t="s">
        <v>220</v>
      </c>
      <c r="I69" t="s">
        <v>277</v>
      </c>
      <c r="J69" t="s">
        <v>612</v>
      </c>
      <c r="K69" s="43">
        <v>46226</v>
      </c>
      <c r="L69">
        <f t="shared" si="33"/>
        <v>813000</v>
      </c>
      <c r="M69" t="s">
        <v>279</v>
      </c>
      <c r="N69" t="s">
        <v>613</v>
      </c>
      <c r="O69" s="43">
        <v>46227</v>
      </c>
      <c r="P69">
        <f t="shared" si="31"/>
        <v>813000</v>
      </c>
      <c r="Q69" t="s">
        <v>281</v>
      </c>
      <c r="R69" t="s">
        <v>614</v>
      </c>
      <c r="S69" s="43">
        <v>46234</v>
      </c>
      <c r="T69">
        <f t="shared" si="34"/>
        <v>813000</v>
      </c>
      <c r="U69">
        <f>T69</f>
        <v>813000</v>
      </c>
      <c r="V69">
        <f t="shared" si="35"/>
        <v>0</v>
      </c>
      <c r="W69" t="str">
        <f t="shared" si="36"/>
        <v>CUADRADO (3-WAY OK)</v>
      </c>
      <c r="X69">
        <f>SUMIFS(Detalle_OT!$I$2:$I$592,Detalle_OT!$B$2:$B$592,A69)</f>
        <v>813000</v>
      </c>
      <c r="Y69">
        <f>SUMIFS(Detalle_OT!$H$2:$H$592,Detalle_OT!$B$2:$B$592,A69,Detalle_OT!$C$2:$C$592,"Repuesto")</f>
        <v>298740</v>
      </c>
      <c r="Z69">
        <f>SUMIFS(Detalle_OT!$H$2:$H$592,Detalle_OT!$B$2:$B$592,A69,Detalle_OT!$C$2:$C$592,"Mano de Obra")</f>
        <v>252000</v>
      </c>
      <c r="AA69">
        <f t="shared" si="37"/>
        <v>262260</v>
      </c>
      <c r="AB69">
        <f t="shared" si="38"/>
        <v>0.32258302583025833</v>
      </c>
      <c r="AC69" t="str">
        <f t="shared" si="39"/>
        <v>Margen No Negativo Confirmado</v>
      </c>
      <c r="AD69" t="str">
        <f t="shared" si="40"/>
        <v>2026-07</v>
      </c>
      <c r="AE69" t="str">
        <f t="shared" si="41"/>
        <v>Semana 30</v>
      </c>
      <c r="AF69">
        <f t="shared" si="42"/>
        <v>6</v>
      </c>
      <c r="AG69">
        <f t="shared" si="43"/>
        <v>1</v>
      </c>
      <c r="AH69">
        <f>IF(AND(G69="",OR(I69="En Curso",I69="Reprogramada"),F69&lt;Dashboard!$B$5),1,0)</f>
        <v>0</v>
      </c>
      <c r="AI69">
        <f t="shared" si="44"/>
        <v>0</v>
      </c>
      <c r="AJ69">
        <f t="shared" si="45"/>
        <v>0</v>
      </c>
      <c r="AK69">
        <f>IF(SUMIFS(Detalle_OT!$J$2:$J$592,Detalle_OT!$B$2:$B$592,A69)&gt;0,1,0)</f>
        <v>0</v>
      </c>
      <c r="AL69">
        <f>IF(AND(OR(Dashboard!$D$5="Todos",AD69=Dashboard!$D$5),OR(Dashboard!$F$5="Todos",D69=Dashboard!$F$5),OR(Dashboard!$H$5="Todos",I69=Dashboard!$H$5)),1,0)</f>
        <v>1</v>
      </c>
      <c r="AM69">
        <f>IF(AND(OR(Control_Mandante!$C$4="Todos", AD69=Control_Mandante!$C$4), OR(Control_Mandante!$F$4="Todos", B69=Control_Mandante!$F$4), OR(Control_Mandante!$I$4="Todos", W69=Control_Mandante!$I$4), OR(Control_Mandante!$L$4="Todos", H69=Control_Mandante!$L$4)), 1, 0)</f>
        <v>1</v>
      </c>
      <c r="AN69" t="str">
        <f>IF(AH69=1, COUNTIF(AH$2:AH69, 1), "")</f>
        <v/>
      </c>
      <c r="AO69" t="str">
        <f>IF(AJ69=1, COUNTIF(AJ$2:AJ69, 1), "")</f>
        <v/>
      </c>
      <c r="AP69" t="str">
        <f>IF(AK69=1, COUNTIF(AK$2:AK69, 1), "")</f>
        <v/>
      </c>
    </row>
    <row r="70" spans="1:42" x14ac:dyDescent="0.25">
      <c r="A70" t="s">
        <v>615</v>
      </c>
      <c r="B70" t="s">
        <v>155</v>
      </c>
      <c r="C70" t="s">
        <v>616</v>
      </c>
      <c r="D70" t="s">
        <v>295</v>
      </c>
      <c r="E70" s="43">
        <v>46226</v>
      </c>
      <c r="F70" s="43">
        <v>46240</v>
      </c>
      <c r="G70" s="43">
        <v>46240</v>
      </c>
      <c r="H70" t="s">
        <v>218</v>
      </c>
      <c r="I70" t="s">
        <v>277</v>
      </c>
      <c r="J70" t="s">
        <v>617</v>
      </c>
      <c r="K70" s="43">
        <v>46226</v>
      </c>
      <c r="L70">
        <f t="shared" si="33"/>
        <v>681800</v>
      </c>
      <c r="M70" t="s">
        <v>279</v>
      </c>
      <c r="N70" t="s">
        <v>618</v>
      </c>
      <c r="O70" s="43">
        <v>46227</v>
      </c>
      <c r="P70">
        <f t="shared" si="31"/>
        <v>681800</v>
      </c>
      <c r="Q70" t="s">
        <v>281</v>
      </c>
      <c r="R70" t="s">
        <v>619</v>
      </c>
      <c r="S70" s="43">
        <v>46242</v>
      </c>
      <c r="T70">
        <f t="shared" si="34"/>
        <v>681800</v>
      </c>
      <c r="U70">
        <f>T70*0.5</f>
        <v>340900</v>
      </c>
      <c r="V70">
        <f t="shared" si="35"/>
        <v>340900</v>
      </c>
      <c r="W70" t="str">
        <f t="shared" si="36"/>
        <v>CUADRADO (3-WAY OK)</v>
      </c>
      <c r="X70">
        <f>SUMIFS(Detalle_OT!$I$2:$I$592,Detalle_OT!$B$2:$B$592,A70)</f>
        <v>681800</v>
      </c>
      <c r="Y70">
        <f>SUMIFS(Detalle_OT!$H$2:$H$592,Detalle_OT!$B$2:$B$592,A70,Detalle_OT!$C$2:$C$592,"Repuesto")</f>
        <v>757240</v>
      </c>
      <c r="Z70">
        <f>SUMIFS(Detalle_OT!$H$2:$H$592,Detalle_OT!$B$2:$B$592,A70,Detalle_OT!$C$2:$C$592,"Mano de Obra")</f>
        <v>144100</v>
      </c>
      <c r="AA70">
        <f t="shared" si="37"/>
        <v>-219540</v>
      </c>
      <c r="AB70">
        <f t="shared" si="38"/>
        <v>-0.32200058668231152</v>
      </c>
      <c r="AC70" t="str">
        <f t="shared" si="39"/>
        <v>Margen Negativo Confirmado</v>
      </c>
      <c r="AD70" t="str">
        <f t="shared" si="40"/>
        <v>2026-07</v>
      </c>
      <c r="AE70" t="str">
        <f t="shared" si="41"/>
        <v>Semana 30</v>
      </c>
      <c r="AF70">
        <f t="shared" si="42"/>
        <v>14</v>
      </c>
      <c r="AG70">
        <f t="shared" si="43"/>
        <v>1</v>
      </c>
      <c r="AH70">
        <f>IF(AND(G70="",OR(I70="En Curso",I70="Reprogramada"),F70&lt;Dashboard!$B$5),1,0)</f>
        <v>0</v>
      </c>
      <c r="AI70">
        <f t="shared" si="44"/>
        <v>0</v>
      </c>
      <c r="AJ70">
        <f t="shared" si="45"/>
        <v>0</v>
      </c>
      <c r="AK70">
        <f>IF(SUMIFS(Detalle_OT!$J$2:$J$592,Detalle_OT!$B$2:$B$592,A70)&gt;0,1,0)</f>
        <v>0</v>
      </c>
      <c r="AL70">
        <f>IF(AND(OR(Dashboard!$D$5="Todos",AD70=Dashboard!$D$5),OR(Dashboard!$F$5="Todos",D70=Dashboard!$F$5),OR(Dashboard!$H$5="Todos",I70=Dashboard!$H$5)),1,0)</f>
        <v>1</v>
      </c>
      <c r="AM70">
        <f>IF(AND(OR(Control_Mandante!$C$4="Todos", AD70=Control_Mandante!$C$4), OR(Control_Mandante!$F$4="Todos", B70=Control_Mandante!$F$4), OR(Control_Mandante!$I$4="Todos", W70=Control_Mandante!$I$4), OR(Control_Mandante!$L$4="Todos", H70=Control_Mandante!$L$4)), 1, 0)</f>
        <v>1</v>
      </c>
      <c r="AN70" t="str">
        <f>IF(AH70=1, COUNTIF(AH$2:AH70, 1), "")</f>
        <v/>
      </c>
      <c r="AO70" t="str">
        <f>IF(AJ70=1, COUNTIF(AJ$2:AJ70, 1), "")</f>
        <v/>
      </c>
      <c r="AP70" t="str">
        <f>IF(AK70=1, COUNTIF(AK$2:AK70, 1), "")</f>
        <v/>
      </c>
    </row>
    <row r="71" spans="1:42" x14ac:dyDescent="0.25">
      <c r="A71" t="s">
        <v>620</v>
      </c>
      <c r="B71" t="s">
        <v>183</v>
      </c>
      <c r="C71" t="s">
        <v>621</v>
      </c>
      <c r="D71" t="s">
        <v>301</v>
      </c>
      <c r="E71" s="43">
        <v>46226</v>
      </c>
      <c r="F71" s="43">
        <v>46231</v>
      </c>
      <c r="G71" s="43">
        <v>46239</v>
      </c>
      <c r="H71" t="s">
        <v>220</v>
      </c>
      <c r="I71" t="s">
        <v>277</v>
      </c>
      <c r="J71" t="s">
        <v>622</v>
      </c>
      <c r="K71" s="43">
        <v>46226</v>
      </c>
      <c r="L71">
        <f t="shared" si="33"/>
        <v>944370</v>
      </c>
      <c r="M71" t="s">
        <v>279</v>
      </c>
      <c r="N71" t="s">
        <v>623</v>
      </c>
      <c r="O71" s="43">
        <v>46227</v>
      </c>
      <c r="P71">
        <f t="shared" si="31"/>
        <v>944370</v>
      </c>
      <c r="Q71" t="s">
        <v>281</v>
      </c>
      <c r="R71" t="s">
        <v>624</v>
      </c>
      <c r="S71" s="43">
        <v>46241</v>
      </c>
      <c r="T71">
        <f t="shared" si="34"/>
        <v>944370</v>
      </c>
      <c r="U71">
        <f>T71</f>
        <v>944370</v>
      </c>
      <c r="V71">
        <f t="shared" si="35"/>
        <v>0</v>
      </c>
      <c r="W71" t="str">
        <f t="shared" si="36"/>
        <v>CUADRADO (3-WAY OK)</v>
      </c>
      <c r="X71">
        <f>SUMIFS(Detalle_OT!$I$2:$I$592,Detalle_OT!$B$2:$B$592,A71)</f>
        <v>944370</v>
      </c>
      <c r="Y71">
        <f>SUMIFS(Detalle_OT!$H$2:$H$592,Detalle_OT!$B$2:$B$592,A71,Detalle_OT!$C$2:$C$592,"Repuesto")</f>
        <v>393510</v>
      </c>
      <c r="Z71">
        <f>SUMIFS(Detalle_OT!$H$2:$H$592,Detalle_OT!$B$2:$B$592,A71,Detalle_OT!$C$2:$C$592,"Mano de Obra")</f>
        <v>181700</v>
      </c>
      <c r="AA71" t="str">
        <f t="shared" si="37"/>
        <v/>
      </c>
      <c r="AB71" t="str">
        <f t="shared" si="38"/>
        <v/>
      </c>
      <c r="AC71" t="str">
        <f t="shared" si="39"/>
        <v>Pendiente de Validación</v>
      </c>
      <c r="AD71" t="str">
        <f t="shared" si="40"/>
        <v>2026-07</v>
      </c>
      <c r="AE71" t="str">
        <f t="shared" si="41"/>
        <v>Semana 30</v>
      </c>
      <c r="AF71">
        <f t="shared" si="42"/>
        <v>13</v>
      </c>
      <c r="AG71">
        <f t="shared" si="43"/>
        <v>0</v>
      </c>
      <c r="AH71">
        <f>IF(AND(G71="",OR(I71="En Curso",I71="Reprogramada"),F71&lt;Dashboard!$B$5),1,0)</f>
        <v>0</v>
      </c>
      <c r="AI71">
        <f t="shared" si="44"/>
        <v>0</v>
      </c>
      <c r="AJ71">
        <f t="shared" si="45"/>
        <v>0</v>
      </c>
      <c r="AK71">
        <f>IF(SUMIFS(Detalle_OT!$J$2:$J$592,Detalle_OT!$B$2:$B$592,A71)&gt;0,1,0)</f>
        <v>1</v>
      </c>
      <c r="AL71">
        <f>IF(AND(OR(Dashboard!$D$5="Todos",AD71=Dashboard!$D$5),OR(Dashboard!$F$5="Todos",D71=Dashboard!$F$5),OR(Dashboard!$H$5="Todos",I71=Dashboard!$H$5)),1,0)</f>
        <v>1</v>
      </c>
      <c r="AM71">
        <f>IF(AND(OR(Control_Mandante!$C$4="Todos", AD71=Control_Mandante!$C$4), OR(Control_Mandante!$F$4="Todos", B71=Control_Mandante!$F$4), OR(Control_Mandante!$I$4="Todos", W71=Control_Mandante!$I$4), OR(Control_Mandante!$L$4="Todos", H71=Control_Mandante!$L$4)), 1, 0)</f>
        <v>1</v>
      </c>
      <c r="AN71" t="str">
        <f>IF(AH71=1, COUNTIF(AH$2:AH71, 1), "")</f>
        <v/>
      </c>
      <c r="AO71" t="str">
        <f>IF(AJ71=1, COUNTIF(AJ$2:AJ71, 1), "")</f>
        <v/>
      </c>
      <c r="AP71">
        <f>IF(AK71=1, COUNTIF(AK$2:AK71, 1), "")</f>
        <v>3</v>
      </c>
    </row>
    <row r="72" spans="1:42" x14ac:dyDescent="0.25">
      <c r="A72" t="s">
        <v>625</v>
      </c>
      <c r="B72" t="s">
        <v>200</v>
      </c>
      <c r="C72" t="s">
        <v>626</v>
      </c>
      <c r="D72" t="s">
        <v>295</v>
      </c>
      <c r="E72" s="43">
        <v>46228</v>
      </c>
      <c r="F72" s="43">
        <v>46241</v>
      </c>
      <c r="G72" s="43">
        <v>46241</v>
      </c>
      <c r="H72" t="s">
        <v>222</v>
      </c>
      <c r="I72" t="s">
        <v>277</v>
      </c>
      <c r="J72" t="s">
        <v>627</v>
      </c>
      <c r="K72" s="43">
        <v>46228</v>
      </c>
      <c r="L72">
        <f t="shared" si="33"/>
        <v>627360</v>
      </c>
      <c r="M72" t="s">
        <v>279</v>
      </c>
      <c r="N72" t="s">
        <v>628</v>
      </c>
      <c r="O72" s="43">
        <v>46229</v>
      </c>
      <c r="P72">
        <f t="shared" si="31"/>
        <v>627360</v>
      </c>
      <c r="Q72" t="s">
        <v>281</v>
      </c>
      <c r="R72" t="s">
        <v>629</v>
      </c>
      <c r="S72" s="43">
        <v>46243</v>
      </c>
      <c r="T72">
        <f t="shared" si="34"/>
        <v>627360</v>
      </c>
      <c r="U72">
        <f>T72</f>
        <v>627360</v>
      </c>
      <c r="V72">
        <f t="shared" si="35"/>
        <v>0</v>
      </c>
      <c r="W72" t="str">
        <f t="shared" si="36"/>
        <v>CUADRADO (3-WAY OK)</v>
      </c>
      <c r="X72">
        <f>SUMIFS(Detalle_OT!$I$2:$I$592,Detalle_OT!$B$2:$B$592,A72)</f>
        <v>627360</v>
      </c>
      <c r="Y72">
        <f>SUMIFS(Detalle_OT!$H$2:$H$592,Detalle_OT!$B$2:$B$592,A72,Detalle_OT!$C$2:$C$592,"Repuesto")</f>
        <v>184470</v>
      </c>
      <c r="Z72">
        <f>SUMIFS(Detalle_OT!$H$2:$H$592,Detalle_OT!$B$2:$B$592,A72,Detalle_OT!$C$2:$C$592,"Mano de Obra")</f>
        <v>333500</v>
      </c>
      <c r="AA72">
        <f t="shared" si="37"/>
        <v>109390</v>
      </c>
      <c r="AB72">
        <f t="shared" si="38"/>
        <v>0.17436559551134914</v>
      </c>
      <c r="AC72" t="str">
        <f t="shared" si="39"/>
        <v>Margen No Negativo Confirmado</v>
      </c>
      <c r="AD72" t="str">
        <f t="shared" si="40"/>
        <v>2026-07</v>
      </c>
      <c r="AE72" t="str">
        <f t="shared" si="41"/>
        <v>Semana 30</v>
      </c>
      <c r="AF72">
        <f t="shared" si="42"/>
        <v>13</v>
      </c>
      <c r="AG72">
        <f t="shared" si="43"/>
        <v>1</v>
      </c>
      <c r="AH72">
        <f>IF(AND(G72="",OR(I72="En Curso",I72="Reprogramada"),F72&lt;Dashboard!$B$5),1,0)</f>
        <v>0</v>
      </c>
      <c r="AI72">
        <f t="shared" si="44"/>
        <v>0</v>
      </c>
      <c r="AJ72">
        <f t="shared" si="45"/>
        <v>0</v>
      </c>
      <c r="AK72">
        <f>IF(SUMIFS(Detalle_OT!$J$2:$J$592,Detalle_OT!$B$2:$B$592,A72)&gt;0,1,0)</f>
        <v>0</v>
      </c>
      <c r="AL72">
        <f>IF(AND(OR(Dashboard!$D$5="Todos",AD72=Dashboard!$D$5),OR(Dashboard!$F$5="Todos",D72=Dashboard!$F$5),OR(Dashboard!$H$5="Todos",I72=Dashboard!$H$5)),1,0)</f>
        <v>1</v>
      </c>
      <c r="AM72">
        <f>IF(AND(OR(Control_Mandante!$C$4="Todos", AD72=Control_Mandante!$C$4), OR(Control_Mandante!$F$4="Todos", B72=Control_Mandante!$F$4), OR(Control_Mandante!$I$4="Todos", W72=Control_Mandante!$I$4), OR(Control_Mandante!$L$4="Todos", H72=Control_Mandante!$L$4)), 1, 0)</f>
        <v>1</v>
      </c>
      <c r="AN72" t="str">
        <f>IF(AH72=1, COUNTIF(AH$2:AH72, 1), "")</f>
        <v/>
      </c>
      <c r="AO72" t="str">
        <f>IF(AJ72=1, COUNTIF(AJ$2:AJ72, 1), "")</f>
        <v/>
      </c>
      <c r="AP72" t="str">
        <f>IF(AK72=1, COUNTIF(AK$2:AK72, 1), "")</f>
        <v/>
      </c>
    </row>
    <row r="73" spans="1:42" x14ac:dyDescent="0.25">
      <c r="A73" t="s">
        <v>630</v>
      </c>
      <c r="B73" t="s">
        <v>200</v>
      </c>
      <c r="C73" t="s">
        <v>631</v>
      </c>
      <c r="D73" t="s">
        <v>276</v>
      </c>
      <c r="E73" s="43">
        <v>46228</v>
      </c>
      <c r="F73" s="43">
        <v>46232</v>
      </c>
      <c r="G73" s="43">
        <v>46232</v>
      </c>
      <c r="H73" t="s">
        <v>218</v>
      </c>
      <c r="I73" t="s">
        <v>277</v>
      </c>
      <c r="J73" t="s">
        <v>632</v>
      </c>
      <c r="K73" s="43">
        <v>46228</v>
      </c>
      <c r="L73">
        <f t="shared" si="33"/>
        <v>210820</v>
      </c>
      <c r="M73" t="s">
        <v>279</v>
      </c>
      <c r="N73" t="s">
        <v>633</v>
      </c>
      <c r="O73" s="43">
        <v>46229</v>
      </c>
      <c r="P73">
        <f t="shared" si="31"/>
        <v>210820</v>
      </c>
      <c r="Q73" t="s">
        <v>281</v>
      </c>
      <c r="R73" t="s">
        <v>634</v>
      </c>
      <c r="S73" s="43">
        <v>46234</v>
      </c>
      <c r="T73">
        <f t="shared" si="34"/>
        <v>210820</v>
      </c>
      <c r="U73">
        <f>T73*0.5</f>
        <v>105410</v>
      </c>
      <c r="V73">
        <f t="shared" si="35"/>
        <v>105410</v>
      </c>
      <c r="W73" t="str">
        <f t="shared" si="36"/>
        <v>CUADRADO (3-WAY OK)</v>
      </c>
      <c r="X73">
        <f>SUMIFS(Detalle_OT!$I$2:$I$592,Detalle_OT!$B$2:$B$592,A73)</f>
        <v>210820</v>
      </c>
      <c r="Y73">
        <f>SUMIFS(Detalle_OT!$H$2:$H$592,Detalle_OT!$B$2:$B$592,A73,Detalle_OT!$C$2:$C$592,"Repuesto")</f>
        <v>263880</v>
      </c>
      <c r="Z73">
        <f>SUMIFS(Detalle_OT!$H$2:$H$592,Detalle_OT!$B$2:$B$592,A73,Detalle_OT!$C$2:$C$592,"Mano de Obra")</f>
        <v>36600</v>
      </c>
      <c r="AA73" t="str">
        <f t="shared" si="37"/>
        <v/>
      </c>
      <c r="AB73" t="str">
        <f t="shared" si="38"/>
        <v/>
      </c>
      <c r="AC73" t="str">
        <f t="shared" si="39"/>
        <v>Pendiente de Validación</v>
      </c>
      <c r="AD73" t="str">
        <f t="shared" si="40"/>
        <v>2026-07</v>
      </c>
      <c r="AE73" t="str">
        <f t="shared" si="41"/>
        <v>Semana 30</v>
      </c>
      <c r="AF73">
        <f t="shared" si="42"/>
        <v>4</v>
      </c>
      <c r="AG73">
        <f t="shared" si="43"/>
        <v>1</v>
      </c>
      <c r="AH73">
        <f>IF(AND(G73="",OR(I73="En Curso",I73="Reprogramada"),F73&lt;Dashboard!$B$5),1,0)</f>
        <v>0</v>
      </c>
      <c r="AI73">
        <f t="shared" si="44"/>
        <v>0</v>
      </c>
      <c r="AJ73">
        <f t="shared" si="45"/>
        <v>0</v>
      </c>
      <c r="AK73">
        <f>IF(SUMIFS(Detalle_OT!$J$2:$J$592,Detalle_OT!$B$2:$B$592,A73)&gt;0,1,0)</f>
        <v>1</v>
      </c>
      <c r="AL73">
        <f>IF(AND(OR(Dashboard!$D$5="Todos",AD73=Dashboard!$D$5),OR(Dashboard!$F$5="Todos",D73=Dashboard!$F$5),OR(Dashboard!$H$5="Todos",I73=Dashboard!$H$5)),1,0)</f>
        <v>1</v>
      </c>
      <c r="AM73">
        <f>IF(AND(OR(Control_Mandante!$C$4="Todos", AD73=Control_Mandante!$C$4), OR(Control_Mandante!$F$4="Todos", B73=Control_Mandante!$F$4), OR(Control_Mandante!$I$4="Todos", W73=Control_Mandante!$I$4), OR(Control_Mandante!$L$4="Todos", H73=Control_Mandante!$L$4)), 1, 0)</f>
        <v>1</v>
      </c>
      <c r="AN73" t="str">
        <f>IF(AH73=1, COUNTIF(AH$2:AH73, 1), "")</f>
        <v/>
      </c>
      <c r="AO73" t="str">
        <f>IF(AJ73=1, COUNTIF(AJ$2:AJ73, 1), "")</f>
        <v/>
      </c>
      <c r="AP73">
        <f>IF(AK73=1, COUNTIF(AK$2:AK73, 1), "")</f>
        <v>4</v>
      </c>
    </row>
    <row r="74" spans="1:42" x14ac:dyDescent="0.25">
      <c r="A74" t="s">
        <v>635</v>
      </c>
      <c r="B74" t="s">
        <v>165</v>
      </c>
      <c r="C74" t="s">
        <v>636</v>
      </c>
      <c r="D74" t="s">
        <v>295</v>
      </c>
      <c r="E74" s="43">
        <v>46230</v>
      </c>
      <c r="F74" s="43">
        <v>46238</v>
      </c>
      <c r="G74" s="43">
        <v>46238</v>
      </c>
      <c r="H74" t="s">
        <v>227</v>
      </c>
      <c r="I74" t="s">
        <v>277</v>
      </c>
      <c r="J74" t="s">
        <v>637</v>
      </c>
      <c r="K74" s="43">
        <v>46230</v>
      </c>
      <c r="L74">
        <f t="shared" si="33"/>
        <v>2182560</v>
      </c>
      <c r="M74" t="s">
        <v>279</v>
      </c>
      <c r="N74" t="s">
        <v>638</v>
      </c>
      <c r="O74" s="43">
        <v>46231</v>
      </c>
      <c r="P74">
        <f t="shared" si="31"/>
        <v>2182560</v>
      </c>
      <c r="Q74" t="s">
        <v>281</v>
      </c>
      <c r="R74" t="s">
        <v>639</v>
      </c>
      <c r="S74" s="43">
        <v>46240</v>
      </c>
      <c r="T74">
        <f t="shared" si="34"/>
        <v>2182560</v>
      </c>
      <c r="U74">
        <f>T74</f>
        <v>2182560</v>
      </c>
      <c r="V74">
        <f t="shared" si="35"/>
        <v>0</v>
      </c>
      <c r="W74" t="str">
        <f t="shared" si="36"/>
        <v>CUADRADO (3-WAY OK)</v>
      </c>
      <c r="X74">
        <f>SUMIFS(Detalle_OT!$I$2:$I$592,Detalle_OT!$B$2:$B$592,A74)</f>
        <v>2182560</v>
      </c>
      <c r="Y74">
        <f>SUMIFS(Detalle_OT!$H$2:$H$592,Detalle_OT!$B$2:$B$592,A74,Detalle_OT!$C$2:$C$592,"Repuesto")</f>
        <v>972520</v>
      </c>
      <c r="Z74">
        <f>SUMIFS(Detalle_OT!$H$2:$H$592,Detalle_OT!$B$2:$B$592,A74,Detalle_OT!$C$2:$C$592,"Mano de Obra")</f>
        <v>430400</v>
      </c>
      <c r="AA74">
        <f t="shared" si="37"/>
        <v>779640</v>
      </c>
      <c r="AB74">
        <f t="shared" si="38"/>
        <v>0.35721354739388606</v>
      </c>
      <c r="AC74" t="str">
        <f t="shared" si="39"/>
        <v>Margen No Negativo Confirmado</v>
      </c>
      <c r="AD74" t="str">
        <f t="shared" si="40"/>
        <v>2026-07</v>
      </c>
      <c r="AE74" t="str">
        <f t="shared" si="41"/>
        <v>Semana 31</v>
      </c>
      <c r="AF74">
        <f t="shared" si="42"/>
        <v>8</v>
      </c>
      <c r="AG74">
        <f t="shared" si="43"/>
        <v>1</v>
      </c>
      <c r="AH74">
        <f>IF(AND(G74="",OR(I74="En Curso",I74="Reprogramada"),F74&lt;Dashboard!$B$5),1,0)</f>
        <v>0</v>
      </c>
      <c r="AI74">
        <f t="shared" si="44"/>
        <v>0</v>
      </c>
      <c r="AJ74">
        <f t="shared" si="45"/>
        <v>0</v>
      </c>
      <c r="AK74">
        <f>IF(SUMIFS(Detalle_OT!$J$2:$J$592,Detalle_OT!$B$2:$B$592,A74)&gt;0,1,0)</f>
        <v>0</v>
      </c>
      <c r="AL74">
        <f>IF(AND(OR(Dashboard!$D$5="Todos",AD74=Dashboard!$D$5),OR(Dashboard!$F$5="Todos",D74=Dashboard!$F$5),OR(Dashboard!$H$5="Todos",I74=Dashboard!$H$5)),1,0)</f>
        <v>1</v>
      </c>
      <c r="AM74">
        <f>IF(AND(OR(Control_Mandante!$C$4="Todos", AD74=Control_Mandante!$C$4), OR(Control_Mandante!$F$4="Todos", B74=Control_Mandante!$F$4), OR(Control_Mandante!$I$4="Todos", W74=Control_Mandante!$I$4), OR(Control_Mandante!$L$4="Todos", H74=Control_Mandante!$L$4)), 1, 0)</f>
        <v>1</v>
      </c>
      <c r="AN74" t="str">
        <f>IF(AH74=1, COUNTIF(AH$2:AH74, 1), "")</f>
        <v/>
      </c>
      <c r="AO74" t="str">
        <f>IF(AJ74=1, COUNTIF(AJ$2:AJ74, 1), "")</f>
        <v/>
      </c>
      <c r="AP74" t="str">
        <f>IF(AK74=1, COUNTIF(AK$2:AK74, 1), "")</f>
        <v/>
      </c>
    </row>
    <row r="75" spans="1:42" x14ac:dyDescent="0.25">
      <c r="A75" t="s">
        <v>640</v>
      </c>
      <c r="B75" t="s">
        <v>209</v>
      </c>
      <c r="C75" t="s">
        <v>641</v>
      </c>
      <c r="D75" t="s">
        <v>276</v>
      </c>
      <c r="E75" s="43">
        <v>46230</v>
      </c>
      <c r="F75" s="43">
        <v>46232</v>
      </c>
      <c r="G75" s="43">
        <v>46230</v>
      </c>
      <c r="H75" t="s">
        <v>215</v>
      </c>
      <c r="I75" t="s">
        <v>277</v>
      </c>
      <c r="J75" t="s">
        <v>642</v>
      </c>
      <c r="K75" s="43">
        <v>46230</v>
      </c>
      <c r="L75">
        <f t="shared" si="33"/>
        <v>103870</v>
      </c>
      <c r="M75" t="s">
        <v>279</v>
      </c>
      <c r="N75" t="s">
        <v>643</v>
      </c>
      <c r="O75" s="43">
        <v>46231</v>
      </c>
      <c r="P75">
        <f t="shared" si="31"/>
        <v>103870</v>
      </c>
      <c r="Q75" t="s">
        <v>281</v>
      </c>
      <c r="R75" t="s">
        <v>644</v>
      </c>
      <c r="S75" s="43">
        <v>46232</v>
      </c>
      <c r="T75">
        <f t="shared" si="34"/>
        <v>103870</v>
      </c>
      <c r="U75">
        <f>T75</f>
        <v>103870</v>
      </c>
      <c r="V75">
        <f t="shared" si="35"/>
        <v>0</v>
      </c>
      <c r="W75" t="str">
        <f t="shared" si="36"/>
        <v>CUADRADO (3-WAY OK)</v>
      </c>
      <c r="X75">
        <f>SUMIFS(Detalle_OT!$I$2:$I$592,Detalle_OT!$B$2:$B$592,A75)</f>
        <v>103870</v>
      </c>
      <c r="Y75">
        <f>SUMIFS(Detalle_OT!$H$2:$H$592,Detalle_OT!$B$2:$B$592,A75,Detalle_OT!$C$2:$C$592,"Repuesto")</f>
        <v>31660</v>
      </c>
      <c r="Z75">
        <f>SUMIFS(Detalle_OT!$H$2:$H$592,Detalle_OT!$B$2:$B$592,A75,Detalle_OT!$C$2:$C$592,"Mano de Obra")</f>
        <v>39600</v>
      </c>
      <c r="AA75">
        <f t="shared" si="37"/>
        <v>32610</v>
      </c>
      <c r="AB75">
        <f t="shared" si="38"/>
        <v>0.31395012997015498</v>
      </c>
      <c r="AC75" t="str">
        <f t="shared" si="39"/>
        <v>Margen No Negativo Confirmado</v>
      </c>
      <c r="AD75" t="str">
        <f t="shared" si="40"/>
        <v>2026-07</v>
      </c>
      <c r="AE75" t="str">
        <f t="shared" si="41"/>
        <v>Semana 31</v>
      </c>
      <c r="AF75">
        <f t="shared" si="42"/>
        <v>0</v>
      </c>
      <c r="AG75">
        <f t="shared" si="43"/>
        <v>1</v>
      </c>
      <c r="AH75">
        <f>IF(AND(G75="",OR(I75="En Curso",I75="Reprogramada"),F75&lt;Dashboard!$B$5),1,0)</f>
        <v>0</v>
      </c>
      <c r="AI75">
        <f t="shared" si="44"/>
        <v>0</v>
      </c>
      <c r="AJ75">
        <f t="shared" si="45"/>
        <v>0</v>
      </c>
      <c r="AK75">
        <f>IF(SUMIFS(Detalle_OT!$J$2:$J$592,Detalle_OT!$B$2:$B$592,A75)&gt;0,1,0)</f>
        <v>0</v>
      </c>
      <c r="AL75">
        <f>IF(AND(OR(Dashboard!$D$5="Todos",AD75=Dashboard!$D$5),OR(Dashboard!$F$5="Todos",D75=Dashboard!$F$5),OR(Dashboard!$H$5="Todos",I75=Dashboard!$H$5)),1,0)</f>
        <v>1</v>
      </c>
      <c r="AM75">
        <f>IF(AND(OR(Control_Mandante!$C$4="Todos", AD75=Control_Mandante!$C$4), OR(Control_Mandante!$F$4="Todos", B75=Control_Mandante!$F$4), OR(Control_Mandante!$I$4="Todos", W75=Control_Mandante!$I$4), OR(Control_Mandante!$L$4="Todos", H75=Control_Mandante!$L$4)), 1, 0)</f>
        <v>1</v>
      </c>
      <c r="AN75" t="str">
        <f>IF(AH75=1, COUNTIF(AH$2:AH75, 1), "")</f>
        <v/>
      </c>
      <c r="AO75" t="str">
        <f>IF(AJ75=1, COUNTIF(AJ$2:AJ75, 1), "")</f>
        <v/>
      </c>
      <c r="AP75" t="str">
        <f>IF(AK75=1, COUNTIF(AK$2:AK75, 1), "")</f>
        <v/>
      </c>
    </row>
    <row r="76" spans="1:42" x14ac:dyDescent="0.25">
      <c r="A76" t="s">
        <v>645</v>
      </c>
      <c r="B76" t="s">
        <v>183</v>
      </c>
      <c r="C76" t="s">
        <v>646</v>
      </c>
      <c r="D76" t="s">
        <v>276</v>
      </c>
      <c r="E76" s="43">
        <v>46230</v>
      </c>
      <c r="F76" s="43">
        <v>46233</v>
      </c>
      <c r="G76" s="43">
        <v>46234</v>
      </c>
      <c r="H76" t="s">
        <v>220</v>
      </c>
      <c r="I76" t="s">
        <v>277</v>
      </c>
      <c r="J76" t="s">
        <v>647</v>
      </c>
      <c r="K76" s="43">
        <v>46230</v>
      </c>
      <c r="L76">
        <f t="shared" si="33"/>
        <v>316070</v>
      </c>
      <c r="M76" t="s">
        <v>279</v>
      </c>
      <c r="N76" t="s">
        <v>648</v>
      </c>
      <c r="O76" s="43">
        <v>46231</v>
      </c>
      <c r="P76">
        <f t="shared" si="31"/>
        <v>316070</v>
      </c>
      <c r="Q76" t="s">
        <v>281</v>
      </c>
      <c r="R76" t="s">
        <v>649</v>
      </c>
      <c r="S76" s="43">
        <v>46236</v>
      </c>
      <c r="T76">
        <f t="shared" si="34"/>
        <v>316070</v>
      </c>
      <c r="U76">
        <f>T76*0.5</f>
        <v>158035</v>
      </c>
      <c r="V76">
        <f t="shared" si="35"/>
        <v>158035</v>
      </c>
      <c r="W76" t="str">
        <f t="shared" si="36"/>
        <v>CUADRADO (3-WAY OK)</v>
      </c>
      <c r="X76">
        <f>SUMIFS(Detalle_OT!$I$2:$I$592,Detalle_OT!$B$2:$B$592,A76)</f>
        <v>316070</v>
      </c>
      <c r="Y76">
        <f>SUMIFS(Detalle_OT!$H$2:$H$592,Detalle_OT!$B$2:$B$592,A76,Detalle_OT!$C$2:$C$592,"Repuesto")</f>
        <v>190890</v>
      </c>
      <c r="Z76">
        <f>SUMIFS(Detalle_OT!$H$2:$H$592,Detalle_OT!$B$2:$B$592,A76,Detalle_OT!$C$2:$C$592,"Mano de Obra")</f>
        <v>36000</v>
      </c>
      <c r="AA76">
        <f t="shared" si="37"/>
        <v>89180</v>
      </c>
      <c r="AB76">
        <f t="shared" si="38"/>
        <v>0.28215268769576357</v>
      </c>
      <c r="AC76" t="str">
        <f t="shared" si="39"/>
        <v>Margen No Negativo Confirmado</v>
      </c>
      <c r="AD76" t="str">
        <f t="shared" si="40"/>
        <v>2026-07</v>
      </c>
      <c r="AE76" t="str">
        <f t="shared" si="41"/>
        <v>Semana 31</v>
      </c>
      <c r="AF76">
        <f t="shared" si="42"/>
        <v>4</v>
      </c>
      <c r="AG76">
        <f t="shared" si="43"/>
        <v>0</v>
      </c>
      <c r="AH76">
        <f>IF(AND(G76="",OR(I76="En Curso",I76="Reprogramada"),F76&lt;Dashboard!$B$5),1,0)</f>
        <v>0</v>
      </c>
      <c r="AI76">
        <f t="shared" si="44"/>
        <v>0</v>
      </c>
      <c r="AJ76">
        <f t="shared" si="45"/>
        <v>0</v>
      </c>
      <c r="AK76">
        <f>IF(SUMIFS(Detalle_OT!$J$2:$J$592,Detalle_OT!$B$2:$B$592,A76)&gt;0,1,0)</f>
        <v>0</v>
      </c>
      <c r="AL76">
        <f>IF(AND(OR(Dashboard!$D$5="Todos",AD76=Dashboard!$D$5),OR(Dashboard!$F$5="Todos",D76=Dashboard!$F$5),OR(Dashboard!$H$5="Todos",I76=Dashboard!$H$5)),1,0)</f>
        <v>1</v>
      </c>
      <c r="AM76">
        <f>IF(AND(OR(Control_Mandante!$C$4="Todos", AD76=Control_Mandante!$C$4), OR(Control_Mandante!$F$4="Todos", B76=Control_Mandante!$F$4), OR(Control_Mandante!$I$4="Todos", W76=Control_Mandante!$I$4), OR(Control_Mandante!$L$4="Todos", H76=Control_Mandante!$L$4)), 1, 0)</f>
        <v>1</v>
      </c>
      <c r="AN76" t="str">
        <f>IF(AH76=1, COUNTIF(AH$2:AH76, 1), "")</f>
        <v/>
      </c>
      <c r="AO76" t="str">
        <f>IF(AJ76=1, COUNTIF(AJ$2:AJ76, 1), "")</f>
        <v/>
      </c>
      <c r="AP76" t="str">
        <f>IF(AK76=1, COUNTIF(AK$2:AK76, 1), "")</f>
        <v/>
      </c>
    </row>
    <row r="77" spans="1:42" x14ac:dyDescent="0.25">
      <c r="A77" t="s">
        <v>650</v>
      </c>
      <c r="B77" t="s">
        <v>187</v>
      </c>
      <c r="C77" t="s">
        <v>651</v>
      </c>
      <c r="D77" t="s">
        <v>276</v>
      </c>
      <c r="E77" s="43">
        <v>46230</v>
      </c>
      <c r="F77" s="43">
        <v>46232</v>
      </c>
      <c r="G77" s="43">
        <v>46230</v>
      </c>
      <c r="H77" t="s">
        <v>215</v>
      </c>
      <c r="I77" t="s">
        <v>277</v>
      </c>
      <c r="J77" t="s">
        <v>652</v>
      </c>
      <c r="K77" s="43">
        <v>46230</v>
      </c>
      <c r="L77">
        <f t="shared" si="33"/>
        <v>196480</v>
      </c>
      <c r="M77" t="s">
        <v>279</v>
      </c>
      <c r="N77" t="s">
        <v>653</v>
      </c>
      <c r="O77" s="43">
        <v>46231</v>
      </c>
      <c r="P77">
        <f t="shared" si="31"/>
        <v>196480</v>
      </c>
      <c r="Q77" t="s">
        <v>281</v>
      </c>
      <c r="R77" t="s">
        <v>654</v>
      </c>
      <c r="S77" s="43">
        <v>46232</v>
      </c>
      <c r="T77">
        <f t="shared" si="34"/>
        <v>196480</v>
      </c>
      <c r="U77">
        <f>T77</f>
        <v>196480</v>
      </c>
      <c r="V77">
        <f t="shared" si="35"/>
        <v>0</v>
      </c>
      <c r="W77" t="str">
        <f t="shared" si="36"/>
        <v>CUADRADO (3-WAY OK)</v>
      </c>
      <c r="X77">
        <f>SUMIFS(Detalle_OT!$I$2:$I$592,Detalle_OT!$B$2:$B$592,A77)</f>
        <v>196480</v>
      </c>
      <c r="Y77">
        <f>SUMIFS(Detalle_OT!$H$2:$H$592,Detalle_OT!$B$2:$B$592,A77,Detalle_OT!$C$2:$C$592,"Repuesto")</f>
        <v>72800</v>
      </c>
      <c r="Z77">
        <f>SUMIFS(Detalle_OT!$H$2:$H$592,Detalle_OT!$B$2:$B$592,A77,Detalle_OT!$C$2:$C$592,"Mano de Obra")</f>
        <v>50400</v>
      </c>
      <c r="AA77">
        <f t="shared" si="37"/>
        <v>73280</v>
      </c>
      <c r="AB77">
        <f t="shared" si="38"/>
        <v>0.37296416938110749</v>
      </c>
      <c r="AC77" t="str">
        <f t="shared" si="39"/>
        <v>Margen No Negativo Confirmado</v>
      </c>
      <c r="AD77" t="str">
        <f t="shared" si="40"/>
        <v>2026-07</v>
      </c>
      <c r="AE77" t="str">
        <f t="shared" si="41"/>
        <v>Semana 31</v>
      </c>
      <c r="AF77">
        <f t="shared" si="42"/>
        <v>0</v>
      </c>
      <c r="AG77">
        <f t="shared" si="43"/>
        <v>1</v>
      </c>
      <c r="AH77">
        <f>IF(AND(G77="",OR(I77="En Curso",I77="Reprogramada"),F77&lt;Dashboard!$B$5),1,0)</f>
        <v>0</v>
      </c>
      <c r="AI77">
        <f t="shared" si="44"/>
        <v>0</v>
      </c>
      <c r="AJ77">
        <f t="shared" si="45"/>
        <v>0</v>
      </c>
      <c r="AK77">
        <f>IF(SUMIFS(Detalle_OT!$J$2:$J$592,Detalle_OT!$B$2:$B$592,A77)&gt;0,1,0)</f>
        <v>0</v>
      </c>
      <c r="AL77">
        <f>IF(AND(OR(Dashboard!$D$5="Todos",AD77=Dashboard!$D$5),OR(Dashboard!$F$5="Todos",D77=Dashboard!$F$5),OR(Dashboard!$H$5="Todos",I77=Dashboard!$H$5)),1,0)</f>
        <v>1</v>
      </c>
      <c r="AM77">
        <f>IF(AND(OR(Control_Mandante!$C$4="Todos", AD77=Control_Mandante!$C$4), OR(Control_Mandante!$F$4="Todos", B77=Control_Mandante!$F$4), OR(Control_Mandante!$I$4="Todos", W77=Control_Mandante!$I$4), OR(Control_Mandante!$L$4="Todos", H77=Control_Mandante!$L$4)), 1, 0)</f>
        <v>1</v>
      </c>
      <c r="AN77" t="str">
        <f>IF(AH77=1, COUNTIF(AH$2:AH77, 1), "")</f>
        <v/>
      </c>
      <c r="AO77" t="str">
        <f>IF(AJ77=1, COUNTIF(AJ$2:AJ77, 1), "")</f>
        <v/>
      </c>
      <c r="AP77" t="str">
        <f>IF(AK77=1, COUNTIF(AK$2:AK77, 1), "")</f>
        <v/>
      </c>
    </row>
    <row r="78" spans="1:42" x14ac:dyDescent="0.25">
      <c r="A78" t="s">
        <v>655</v>
      </c>
      <c r="B78" t="s">
        <v>183</v>
      </c>
      <c r="C78" t="s">
        <v>656</v>
      </c>
      <c r="D78" t="s">
        <v>295</v>
      </c>
      <c r="E78" s="43">
        <v>46231</v>
      </c>
      <c r="F78" s="43">
        <v>46245</v>
      </c>
      <c r="G78" s="43">
        <v>46250</v>
      </c>
      <c r="H78" t="s">
        <v>225</v>
      </c>
      <c r="I78" t="s">
        <v>277</v>
      </c>
      <c r="J78" t="s">
        <v>657</v>
      </c>
      <c r="K78" s="43">
        <v>46231</v>
      </c>
      <c r="L78">
        <f t="shared" si="33"/>
        <v>521760</v>
      </c>
      <c r="M78" t="s">
        <v>279</v>
      </c>
      <c r="N78" t="s">
        <v>658</v>
      </c>
      <c r="O78" s="43">
        <v>46232</v>
      </c>
      <c r="P78">
        <f t="shared" si="31"/>
        <v>521760</v>
      </c>
      <c r="Q78" t="s">
        <v>281</v>
      </c>
      <c r="R78" t="s">
        <v>659</v>
      </c>
      <c r="S78" s="43">
        <v>46252</v>
      </c>
      <c r="T78">
        <f t="shared" si="34"/>
        <v>521760</v>
      </c>
      <c r="U78">
        <f>T78</f>
        <v>521760</v>
      </c>
      <c r="V78">
        <f t="shared" si="35"/>
        <v>0</v>
      </c>
      <c r="W78" t="str">
        <f t="shared" si="36"/>
        <v>CUADRADO (3-WAY OK)</v>
      </c>
      <c r="X78">
        <f>SUMIFS(Detalle_OT!$I$2:$I$592,Detalle_OT!$B$2:$B$592,A78)</f>
        <v>521760</v>
      </c>
      <c r="Y78">
        <f>SUMIFS(Detalle_OT!$H$2:$H$592,Detalle_OT!$B$2:$B$592,A78,Detalle_OT!$C$2:$C$592,"Repuesto")</f>
        <v>357040</v>
      </c>
      <c r="Z78">
        <f>SUMIFS(Detalle_OT!$H$2:$H$592,Detalle_OT!$B$2:$B$592,A78,Detalle_OT!$C$2:$C$592,"Mano de Obra")</f>
        <v>108900</v>
      </c>
      <c r="AA78">
        <f t="shared" si="37"/>
        <v>55820</v>
      </c>
      <c r="AB78">
        <f t="shared" si="38"/>
        <v>0.10698405397117448</v>
      </c>
      <c r="AC78" t="str">
        <f t="shared" si="39"/>
        <v>Margen No Negativo Confirmado</v>
      </c>
      <c r="AD78" t="str">
        <f t="shared" si="40"/>
        <v>2026-07</v>
      </c>
      <c r="AE78" t="str">
        <f t="shared" si="41"/>
        <v>Semana 31</v>
      </c>
      <c r="AF78">
        <f t="shared" si="42"/>
        <v>19</v>
      </c>
      <c r="AG78">
        <f t="shared" si="43"/>
        <v>0</v>
      </c>
      <c r="AH78">
        <f>IF(AND(G78="",OR(I78="En Curso",I78="Reprogramada"),F78&lt;Dashboard!$B$5),1,0)</f>
        <v>0</v>
      </c>
      <c r="AI78">
        <f t="shared" si="44"/>
        <v>0</v>
      </c>
      <c r="AJ78">
        <f t="shared" si="45"/>
        <v>0</v>
      </c>
      <c r="AK78">
        <f>IF(SUMIFS(Detalle_OT!$J$2:$J$592,Detalle_OT!$B$2:$B$592,A78)&gt;0,1,0)</f>
        <v>0</v>
      </c>
      <c r="AL78">
        <f>IF(AND(OR(Dashboard!$D$5="Todos",AD78=Dashboard!$D$5),OR(Dashboard!$F$5="Todos",D78=Dashboard!$F$5),OR(Dashboard!$H$5="Todos",I78=Dashboard!$H$5)),1,0)</f>
        <v>1</v>
      </c>
      <c r="AM78">
        <f>IF(AND(OR(Control_Mandante!$C$4="Todos", AD78=Control_Mandante!$C$4), OR(Control_Mandante!$F$4="Todos", B78=Control_Mandante!$F$4), OR(Control_Mandante!$I$4="Todos", W78=Control_Mandante!$I$4), OR(Control_Mandante!$L$4="Todos", H78=Control_Mandante!$L$4)), 1, 0)</f>
        <v>1</v>
      </c>
      <c r="AN78" t="str">
        <f>IF(AH78=1, COUNTIF(AH$2:AH78, 1), "")</f>
        <v/>
      </c>
      <c r="AO78" t="str">
        <f>IF(AJ78=1, COUNTIF(AJ$2:AJ78, 1), "")</f>
        <v/>
      </c>
      <c r="AP78" t="str">
        <f>IF(AK78=1, COUNTIF(AK$2:AK78, 1), "")</f>
        <v/>
      </c>
    </row>
    <row r="79" spans="1:42" x14ac:dyDescent="0.25">
      <c r="A79" t="s">
        <v>660</v>
      </c>
      <c r="B79" t="s">
        <v>193</v>
      </c>
      <c r="C79" t="s">
        <v>661</v>
      </c>
      <c r="D79" t="s">
        <v>301</v>
      </c>
      <c r="E79" s="43">
        <v>46231</v>
      </c>
      <c r="F79" s="43">
        <v>46236</v>
      </c>
      <c r="G79" s="43">
        <v>46235</v>
      </c>
      <c r="H79" t="s">
        <v>215</v>
      </c>
      <c r="I79" t="s">
        <v>290</v>
      </c>
      <c r="J79" t="s">
        <v>662</v>
      </c>
      <c r="K79" s="43">
        <v>46231</v>
      </c>
      <c r="L79">
        <f t="shared" si="33"/>
        <v>682210</v>
      </c>
      <c r="M79" t="s">
        <v>279</v>
      </c>
      <c r="N79" t="s">
        <v>663</v>
      </c>
      <c r="O79" s="43">
        <v>46232</v>
      </c>
      <c r="P79">
        <f t="shared" si="31"/>
        <v>682210</v>
      </c>
      <c r="Q79" t="s">
        <v>281</v>
      </c>
      <c r="R79" t="s">
        <v>664</v>
      </c>
      <c r="S79" s="43">
        <v>46236</v>
      </c>
      <c r="T79">
        <f t="shared" si="34"/>
        <v>682210</v>
      </c>
      <c r="U79">
        <v>0</v>
      </c>
      <c r="V79">
        <f t="shared" si="35"/>
        <v>682210</v>
      </c>
      <c r="W79" t="str">
        <f t="shared" si="36"/>
        <v>CUADRADO (3-WAY OK)</v>
      </c>
      <c r="X79">
        <f>SUMIFS(Detalle_OT!$I$2:$I$592,Detalle_OT!$B$2:$B$592,A79)</f>
        <v>682210</v>
      </c>
      <c r="Y79">
        <f>SUMIFS(Detalle_OT!$H$2:$H$592,Detalle_OT!$B$2:$B$592,A79,Detalle_OT!$C$2:$C$592,"Repuesto")</f>
        <v>271560</v>
      </c>
      <c r="Z79">
        <f>SUMIFS(Detalle_OT!$H$2:$H$592,Detalle_OT!$B$2:$B$592,A79,Detalle_OT!$C$2:$C$592,"Mano de Obra")</f>
        <v>171400</v>
      </c>
      <c r="AA79">
        <f t="shared" si="37"/>
        <v>239250</v>
      </c>
      <c r="AB79">
        <f t="shared" si="38"/>
        <v>0.35069846528195131</v>
      </c>
      <c r="AC79" t="str">
        <f t="shared" si="39"/>
        <v>Margen No Negativo Confirmado</v>
      </c>
      <c r="AD79" t="str">
        <f t="shared" si="40"/>
        <v>2026-07</v>
      </c>
      <c r="AE79" t="str">
        <f t="shared" si="41"/>
        <v>Semana 31</v>
      </c>
      <c r="AF79">
        <f t="shared" si="42"/>
        <v>4</v>
      </c>
      <c r="AG79">
        <f t="shared" si="43"/>
        <v>1</v>
      </c>
      <c r="AH79">
        <f>IF(AND(G79="",OR(I79="En Curso",I79="Reprogramada"),F79&lt;Dashboard!$B$5),1,0)</f>
        <v>0</v>
      </c>
      <c r="AI79">
        <f t="shared" si="44"/>
        <v>0</v>
      </c>
      <c r="AJ79">
        <f t="shared" si="45"/>
        <v>0</v>
      </c>
      <c r="AK79">
        <f>IF(SUMIFS(Detalle_OT!$J$2:$J$592,Detalle_OT!$B$2:$B$592,A79)&gt;0,1,0)</f>
        <v>0</v>
      </c>
      <c r="AL79">
        <f>IF(AND(OR(Dashboard!$D$5="Todos",AD79=Dashboard!$D$5),OR(Dashboard!$F$5="Todos",D79=Dashboard!$F$5),OR(Dashboard!$H$5="Todos",I79=Dashboard!$H$5)),1,0)</f>
        <v>1</v>
      </c>
      <c r="AM79">
        <f>IF(AND(OR(Control_Mandante!$C$4="Todos", AD79=Control_Mandante!$C$4), OR(Control_Mandante!$F$4="Todos", B79=Control_Mandante!$F$4), OR(Control_Mandante!$I$4="Todos", W79=Control_Mandante!$I$4), OR(Control_Mandante!$L$4="Todos", H79=Control_Mandante!$L$4)), 1, 0)</f>
        <v>1</v>
      </c>
      <c r="AN79" t="str">
        <f>IF(AH79=1, COUNTIF(AH$2:AH79, 1), "")</f>
        <v/>
      </c>
      <c r="AO79" t="str">
        <f>IF(AJ79=1, COUNTIF(AJ$2:AJ79, 1), "")</f>
        <v/>
      </c>
      <c r="AP79" t="str">
        <f>IF(AK79=1, COUNTIF(AK$2:AK79, 1), "")</f>
        <v/>
      </c>
    </row>
    <row r="80" spans="1:42" x14ac:dyDescent="0.25">
      <c r="A80" t="s">
        <v>665</v>
      </c>
      <c r="B80" t="s">
        <v>200</v>
      </c>
      <c r="C80" t="s">
        <v>666</v>
      </c>
      <c r="D80" t="s">
        <v>276</v>
      </c>
      <c r="E80" s="43">
        <v>46232</v>
      </c>
      <c r="F80" s="43">
        <v>46234</v>
      </c>
      <c r="G80" s="43">
        <v>46238</v>
      </c>
      <c r="H80" t="s">
        <v>232</v>
      </c>
      <c r="I80" t="s">
        <v>277</v>
      </c>
      <c r="J80" t="s">
        <v>667</v>
      </c>
      <c r="K80" s="43">
        <v>46232</v>
      </c>
      <c r="L80">
        <f t="shared" si="33"/>
        <v>254880</v>
      </c>
      <c r="M80" t="s">
        <v>279</v>
      </c>
      <c r="N80" t="s">
        <v>668</v>
      </c>
      <c r="O80" s="43">
        <v>46233</v>
      </c>
      <c r="P80">
        <f t="shared" si="31"/>
        <v>254880</v>
      </c>
      <c r="Q80" t="s">
        <v>281</v>
      </c>
      <c r="R80" t="s">
        <v>669</v>
      </c>
      <c r="S80" s="43">
        <v>46240</v>
      </c>
      <c r="T80">
        <f t="shared" si="34"/>
        <v>254880</v>
      </c>
      <c r="U80">
        <f>T80</f>
        <v>254880</v>
      </c>
      <c r="V80">
        <f t="shared" si="35"/>
        <v>0</v>
      </c>
      <c r="W80" t="str">
        <f t="shared" si="36"/>
        <v>CUADRADO (3-WAY OK)</v>
      </c>
      <c r="X80">
        <f>SUMIFS(Detalle_OT!$I$2:$I$592,Detalle_OT!$B$2:$B$592,A80)</f>
        <v>254880</v>
      </c>
      <c r="Y80">
        <f>SUMIFS(Detalle_OT!$H$2:$H$592,Detalle_OT!$B$2:$B$592,A80,Detalle_OT!$C$2:$C$592,"Repuesto")</f>
        <v>224260</v>
      </c>
      <c r="Z80">
        <f>SUMIFS(Detalle_OT!$H$2:$H$592,Detalle_OT!$B$2:$B$592,A80,Detalle_OT!$C$2:$C$592,"Mano de Obra")</f>
        <v>31000</v>
      </c>
      <c r="AA80">
        <f t="shared" si="37"/>
        <v>-380</v>
      </c>
      <c r="AB80">
        <f t="shared" si="38"/>
        <v>-1.4908976773383553E-3</v>
      </c>
      <c r="AC80" t="str">
        <f t="shared" si="39"/>
        <v>Margen Negativo Confirmado</v>
      </c>
      <c r="AD80" t="str">
        <f t="shared" si="40"/>
        <v>2026-07</v>
      </c>
      <c r="AE80" t="str">
        <f t="shared" si="41"/>
        <v>Semana 31</v>
      </c>
      <c r="AF80">
        <f t="shared" si="42"/>
        <v>6</v>
      </c>
      <c r="AG80">
        <f t="shared" si="43"/>
        <v>0</v>
      </c>
      <c r="AH80">
        <f>IF(AND(G80="",OR(I80="En Curso",I80="Reprogramada"),F80&lt;Dashboard!$B$5),1,0)</f>
        <v>0</v>
      </c>
      <c r="AI80">
        <f t="shared" si="44"/>
        <v>0</v>
      </c>
      <c r="AJ80">
        <f t="shared" si="45"/>
        <v>0</v>
      </c>
      <c r="AK80">
        <f>IF(SUMIFS(Detalle_OT!$J$2:$J$592,Detalle_OT!$B$2:$B$592,A80)&gt;0,1,0)</f>
        <v>0</v>
      </c>
      <c r="AL80">
        <f>IF(AND(OR(Dashboard!$D$5="Todos",AD80=Dashboard!$D$5),OR(Dashboard!$F$5="Todos",D80=Dashboard!$F$5),OR(Dashboard!$H$5="Todos",I80=Dashboard!$H$5)),1,0)</f>
        <v>1</v>
      </c>
      <c r="AM80">
        <f>IF(AND(OR(Control_Mandante!$C$4="Todos", AD80=Control_Mandante!$C$4), OR(Control_Mandante!$F$4="Todos", B80=Control_Mandante!$F$4), OR(Control_Mandante!$I$4="Todos", W80=Control_Mandante!$I$4), OR(Control_Mandante!$L$4="Todos", H80=Control_Mandante!$L$4)), 1, 0)</f>
        <v>1</v>
      </c>
      <c r="AN80" t="str">
        <f>IF(AH80=1, COUNTIF(AH$2:AH80, 1), "")</f>
        <v/>
      </c>
      <c r="AO80" t="str">
        <f>IF(AJ80=1, COUNTIF(AJ$2:AJ80, 1), "")</f>
        <v/>
      </c>
      <c r="AP80" t="str">
        <f>IF(AK80=1, COUNTIF(AK$2:AK80, 1), "")</f>
        <v/>
      </c>
    </row>
    <row r="81" spans="1:42" x14ac:dyDescent="0.25">
      <c r="A81" t="s">
        <v>670</v>
      </c>
      <c r="B81" t="s">
        <v>193</v>
      </c>
      <c r="C81" t="s">
        <v>671</v>
      </c>
      <c r="D81" t="s">
        <v>301</v>
      </c>
      <c r="E81" s="43">
        <v>46232</v>
      </c>
      <c r="F81" s="43">
        <v>46237</v>
      </c>
      <c r="G81" s="43">
        <v>46242</v>
      </c>
      <c r="H81" t="s">
        <v>215</v>
      </c>
      <c r="I81" t="s">
        <v>277</v>
      </c>
      <c r="J81" t="s">
        <v>672</v>
      </c>
      <c r="K81" s="43">
        <v>46232</v>
      </c>
      <c r="L81">
        <f t="shared" si="33"/>
        <v>811100</v>
      </c>
      <c r="M81" t="s">
        <v>279</v>
      </c>
      <c r="N81" t="s">
        <v>673</v>
      </c>
      <c r="O81" s="43">
        <v>46233</v>
      </c>
      <c r="P81">
        <f t="shared" si="31"/>
        <v>811100</v>
      </c>
      <c r="Q81" t="s">
        <v>281</v>
      </c>
      <c r="R81" t="s">
        <v>674</v>
      </c>
      <c r="S81" s="43">
        <v>46244</v>
      </c>
      <c r="T81">
        <f t="shared" si="34"/>
        <v>811100</v>
      </c>
      <c r="U81">
        <f>T81</f>
        <v>811100</v>
      </c>
      <c r="V81">
        <f t="shared" si="35"/>
        <v>0</v>
      </c>
      <c r="W81" t="str">
        <f t="shared" si="36"/>
        <v>CUADRADO (3-WAY OK)</v>
      </c>
      <c r="X81">
        <f>SUMIFS(Detalle_OT!$I$2:$I$592,Detalle_OT!$B$2:$B$592,A81)</f>
        <v>811100</v>
      </c>
      <c r="Y81">
        <f>SUMIFS(Detalle_OT!$H$2:$H$592,Detalle_OT!$B$2:$B$592,A81,Detalle_OT!$C$2:$C$592,"Repuesto")</f>
        <v>409320</v>
      </c>
      <c r="Z81">
        <f>SUMIFS(Detalle_OT!$H$2:$H$592,Detalle_OT!$B$2:$B$592,A81,Detalle_OT!$C$2:$C$592,"Mano de Obra")</f>
        <v>163900</v>
      </c>
      <c r="AA81">
        <f t="shared" si="37"/>
        <v>237880</v>
      </c>
      <c r="AB81">
        <f t="shared" si="38"/>
        <v>0.29328072987301196</v>
      </c>
      <c r="AC81" t="str">
        <f t="shared" si="39"/>
        <v>Margen No Negativo Confirmado</v>
      </c>
      <c r="AD81" t="str">
        <f t="shared" si="40"/>
        <v>2026-07</v>
      </c>
      <c r="AE81" t="str">
        <f t="shared" si="41"/>
        <v>Semana 31</v>
      </c>
      <c r="AF81">
        <f t="shared" si="42"/>
        <v>10</v>
      </c>
      <c r="AG81">
        <f t="shared" si="43"/>
        <v>0</v>
      </c>
      <c r="AH81">
        <f>IF(AND(G81="",OR(I81="En Curso",I81="Reprogramada"),F81&lt;Dashboard!$B$5),1,0)</f>
        <v>0</v>
      </c>
      <c r="AI81">
        <f t="shared" si="44"/>
        <v>0</v>
      </c>
      <c r="AJ81">
        <f t="shared" si="45"/>
        <v>0</v>
      </c>
      <c r="AK81">
        <f>IF(SUMIFS(Detalle_OT!$J$2:$J$592,Detalle_OT!$B$2:$B$592,A81)&gt;0,1,0)</f>
        <v>0</v>
      </c>
      <c r="AL81">
        <f>IF(AND(OR(Dashboard!$D$5="Todos",AD81=Dashboard!$D$5),OR(Dashboard!$F$5="Todos",D81=Dashboard!$F$5),OR(Dashboard!$H$5="Todos",I81=Dashboard!$H$5)),1,0)</f>
        <v>1</v>
      </c>
      <c r="AM81">
        <f>IF(AND(OR(Control_Mandante!$C$4="Todos", AD81=Control_Mandante!$C$4), OR(Control_Mandante!$F$4="Todos", B81=Control_Mandante!$F$4), OR(Control_Mandante!$I$4="Todos", W81=Control_Mandante!$I$4), OR(Control_Mandante!$L$4="Todos", H81=Control_Mandante!$L$4)), 1, 0)</f>
        <v>1</v>
      </c>
      <c r="AN81" t="str">
        <f>IF(AH81=1, COUNTIF(AH$2:AH81, 1), "")</f>
        <v/>
      </c>
      <c r="AO81" t="str">
        <f>IF(AJ81=1, COUNTIF(AJ$2:AJ81, 1), "")</f>
        <v/>
      </c>
      <c r="AP81" t="str">
        <f>IF(AK81=1, COUNTIF(AK$2:AK81, 1), "")</f>
        <v/>
      </c>
    </row>
    <row r="82" spans="1:42" x14ac:dyDescent="0.25">
      <c r="A82" t="s">
        <v>675</v>
      </c>
      <c r="B82" t="s">
        <v>180</v>
      </c>
      <c r="C82" t="s">
        <v>676</v>
      </c>
      <c r="D82" t="s">
        <v>276</v>
      </c>
      <c r="E82" s="43">
        <v>46233</v>
      </c>
      <c r="F82" s="43">
        <v>46237</v>
      </c>
      <c r="G82" s="43">
        <v>46235</v>
      </c>
      <c r="H82" t="s">
        <v>232</v>
      </c>
      <c r="I82" t="s">
        <v>277</v>
      </c>
      <c r="J82" t="s">
        <v>677</v>
      </c>
      <c r="K82" s="43">
        <v>46233</v>
      </c>
      <c r="L82">
        <f t="shared" si="33"/>
        <v>338320</v>
      </c>
      <c r="M82" t="s">
        <v>279</v>
      </c>
      <c r="N82" t="s">
        <v>678</v>
      </c>
      <c r="O82" s="43">
        <v>46234</v>
      </c>
      <c r="P82">
        <f t="shared" si="31"/>
        <v>338320</v>
      </c>
      <c r="Q82" t="s">
        <v>281</v>
      </c>
      <c r="R82" t="s">
        <v>679</v>
      </c>
      <c r="S82" s="43">
        <v>46237</v>
      </c>
      <c r="T82">
        <f t="shared" si="34"/>
        <v>338320</v>
      </c>
      <c r="U82">
        <f>T82*0.5</f>
        <v>169160</v>
      </c>
      <c r="V82">
        <f t="shared" si="35"/>
        <v>169160</v>
      </c>
      <c r="W82" t="str">
        <f t="shared" si="36"/>
        <v>CUADRADO (3-WAY OK)</v>
      </c>
      <c r="X82">
        <f>SUMIFS(Detalle_OT!$I$2:$I$592,Detalle_OT!$B$2:$B$592,A82)</f>
        <v>338320</v>
      </c>
      <c r="Y82">
        <f>SUMIFS(Detalle_OT!$H$2:$H$592,Detalle_OT!$B$2:$B$592,A82,Detalle_OT!$C$2:$C$592,"Repuesto")</f>
        <v>138270</v>
      </c>
      <c r="Z82">
        <f>SUMIFS(Detalle_OT!$H$2:$H$592,Detalle_OT!$B$2:$B$592,A82,Detalle_OT!$C$2:$C$592,"Mano de Obra")</f>
        <v>71000</v>
      </c>
      <c r="AA82">
        <f t="shared" si="37"/>
        <v>129050</v>
      </c>
      <c r="AB82">
        <f t="shared" si="38"/>
        <v>0.3814436036888153</v>
      </c>
      <c r="AC82" t="str">
        <f t="shared" si="39"/>
        <v>Margen No Negativo Confirmado</v>
      </c>
      <c r="AD82" t="str">
        <f t="shared" si="40"/>
        <v>2026-07</v>
      </c>
      <c r="AE82" t="str">
        <f t="shared" si="41"/>
        <v>Semana 31</v>
      </c>
      <c r="AF82">
        <f t="shared" si="42"/>
        <v>2</v>
      </c>
      <c r="AG82">
        <f t="shared" si="43"/>
        <v>1</v>
      </c>
      <c r="AH82">
        <f>IF(AND(G82="",OR(I82="En Curso",I82="Reprogramada"),F82&lt;Dashboard!$B$5),1,0)</f>
        <v>0</v>
      </c>
      <c r="AI82">
        <f t="shared" si="44"/>
        <v>0</v>
      </c>
      <c r="AJ82">
        <f t="shared" si="45"/>
        <v>0</v>
      </c>
      <c r="AK82">
        <f>IF(SUMIFS(Detalle_OT!$J$2:$J$592,Detalle_OT!$B$2:$B$592,A82)&gt;0,1,0)</f>
        <v>0</v>
      </c>
      <c r="AL82">
        <f>IF(AND(OR(Dashboard!$D$5="Todos",AD82=Dashboard!$D$5),OR(Dashboard!$F$5="Todos",D82=Dashboard!$F$5),OR(Dashboard!$H$5="Todos",I82=Dashboard!$H$5)),1,0)</f>
        <v>1</v>
      </c>
      <c r="AM82">
        <f>IF(AND(OR(Control_Mandante!$C$4="Todos", AD82=Control_Mandante!$C$4), OR(Control_Mandante!$F$4="Todos", B82=Control_Mandante!$F$4), OR(Control_Mandante!$I$4="Todos", W82=Control_Mandante!$I$4), OR(Control_Mandante!$L$4="Todos", H82=Control_Mandante!$L$4)), 1, 0)</f>
        <v>1</v>
      </c>
      <c r="AN82" t="str">
        <f>IF(AH82=1, COUNTIF(AH$2:AH82, 1), "")</f>
        <v/>
      </c>
      <c r="AO82" t="str">
        <f>IF(AJ82=1, COUNTIF(AJ$2:AJ82, 1), "")</f>
        <v/>
      </c>
      <c r="AP82" t="str">
        <f>IF(AK82=1, COUNTIF(AK$2:AK82, 1), "")</f>
        <v/>
      </c>
    </row>
    <row r="83" spans="1:42" x14ac:dyDescent="0.25">
      <c r="A83" t="s">
        <v>680</v>
      </c>
      <c r="B83" t="s">
        <v>187</v>
      </c>
      <c r="C83" t="s">
        <v>681</v>
      </c>
      <c r="D83" t="s">
        <v>276</v>
      </c>
      <c r="E83" s="43">
        <v>46233</v>
      </c>
      <c r="F83" s="43">
        <v>46236</v>
      </c>
      <c r="G83" s="43">
        <v>46244</v>
      </c>
      <c r="H83" t="s">
        <v>220</v>
      </c>
      <c r="I83" t="s">
        <v>277</v>
      </c>
      <c r="J83" t="s">
        <v>682</v>
      </c>
      <c r="K83" s="43">
        <v>46233</v>
      </c>
      <c r="L83">
        <f t="shared" si="33"/>
        <v>175170</v>
      </c>
      <c r="M83" t="s">
        <v>279</v>
      </c>
      <c r="N83" t="s">
        <v>683</v>
      </c>
      <c r="O83" s="43">
        <v>46234</v>
      </c>
      <c r="P83">
        <f t="shared" si="31"/>
        <v>175170</v>
      </c>
      <c r="Q83" t="s">
        <v>281</v>
      </c>
      <c r="R83" t="s">
        <v>684</v>
      </c>
      <c r="S83" s="43">
        <v>46246</v>
      </c>
      <c r="T83">
        <f t="shared" si="34"/>
        <v>175170</v>
      </c>
      <c r="U83">
        <f>T83</f>
        <v>175170</v>
      </c>
      <c r="V83">
        <f t="shared" si="35"/>
        <v>0</v>
      </c>
      <c r="W83" t="str">
        <f t="shared" si="36"/>
        <v>CUADRADO (3-WAY OK)</v>
      </c>
      <c r="X83">
        <f>SUMIFS(Detalle_OT!$I$2:$I$592,Detalle_OT!$B$2:$B$592,A83)</f>
        <v>175170</v>
      </c>
      <c r="Y83">
        <f>SUMIFS(Detalle_OT!$H$2:$H$592,Detalle_OT!$B$2:$B$592,A83,Detalle_OT!$C$2:$C$592,"Repuesto")</f>
        <v>46260</v>
      </c>
      <c r="Z83">
        <f>SUMIFS(Detalle_OT!$H$2:$H$592,Detalle_OT!$B$2:$B$592,A83,Detalle_OT!$C$2:$C$592,"Mano de Obra")</f>
        <v>63000</v>
      </c>
      <c r="AA83">
        <f t="shared" si="37"/>
        <v>65910</v>
      </c>
      <c r="AB83">
        <f t="shared" si="38"/>
        <v>0.37626305874293542</v>
      </c>
      <c r="AC83" t="str">
        <f t="shared" si="39"/>
        <v>Margen No Negativo Confirmado</v>
      </c>
      <c r="AD83" t="str">
        <f t="shared" si="40"/>
        <v>2026-07</v>
      </c>
      <c r="AE83" t="str">
        <f t="shared" si="41"/>
        <v>Semana 31</v>
      </c>
      <c r="AF83">
        <f t="shared" si="42"/>
        <v>11</v>
      </c>
      <c r="AG83">
        <f t="shared" si="43"/>
        <v>0</v>
      </c>
      <c r="AH83">
        <f>IF(AND(G83="",OR(I83="En Curso",I83="Reprogramada"),F83&lt;Dashboard!$B$5),1,0)</f>
        <v>0</v>
      </c>
      <c r="AI83">
        <f t="shared" si="44"/>
        <v>0</v>
      </c>
      <c r="AJ83">
        <f t="shared" si="45"/>
        <v>0</v>
      </c>
      <c r="AK83">
        <f>IF(SUMIFS(Detalle_OT!$J$2:$J$592,Detalle_OT!$B$2:$B$592,A83)&gt;0,1,0)</f>
        <v>0</v>
      </c>
      <c r="AL83">
        <f>IF(AND(OR(Dashboard!$D$5="Todos",AD83=Dashboard!$D$5),OR(Dashboard!$F$5="Todos",D83=Dashboard!$F$5),OR(Dashboard!$H$5="Todos",I83=Dashboard!$H$5)),1,0)</f>
        <v>1</v>
      </c>
      <c r="AM83">
        <f>IF(AND(OR(Control_Mandante!$C$4="Todos", AD83=Control_Mandante!$C$4), OR(Control_Mandante!$F$4="Todos", B83=Control_Mandante!$F$4), OR(Control_Mandante!$I$4="Todos", W83=Control_Mandante!$I$4), OR(Control_Mandante!$L$4="Todos", H83=Control_Mandante!$L$4)), 1, 0)</f>
        <v>1</v>
      </c>
      <c r="AN83" t="str">
        <f>IF(AH83=1, COUNTIF(AH$2:AH83, 1), "")</f>
        <v/>
      </c>
      <c r="AO83" t="str">
        <f>IF(AJ83=1, COUNTIF(AJ$2:AJ83, 1), "")</f>
        <v/>
      </c>
      <c r="AP83" t="str">
        <f>IF(AK83=1, COUNTIF(AK$2:AK83, 1), "")</f>
        <v/>
      </c>
    </row>
    <row r="84" spans="1:42" x14ac:dyDescent="0.25">
      <c r="A84" t="s">
        <v>685</v>
      </c>
      <c r="B84" t="s">
        <v>168</v>
      </c>
      <c r="C84" t="s">
        <v>686</v>
      </c>
      <c r="D84" t="s">
        <v>276</v>
      </c>
      <c r="E84" s="43">
        <v>46233</v>
      </c>
      <c r="F84" s="43">
        <v>46235</v>
      </c>
      <c r="G84" s="43">
        <v>46234</v>
      </c>
      <c r="H84" t="s">
        <v>215</v>
      </c>
      <c r="I84" t="s">
        <v>277</v>
      </c>
      <c r="J84" t="s">
        <v>687</v>
      </c>
      <c r="K84" s="43">
        <v>46233</v>
      </c>
      <c r="L84">
        <f t="shared" si="33"/>
        <v>585320</v>
      </c>
      <c r="M84" t="s">
        <v>279</v>
      </c>
      <c r="N84" t="s">
        <v>688</v>
      </c>
      <c r="O84" s="43">
        <v>46234</v>
      </c>
      <c r="P84">
        <f t="shared" si="31"/>
        <v>585320</v>
      </c>
      <c r="Q84" t="s">
        <v>281</v>
      </c>
      <c r="R84" t="s">
        <v>689</v>
      </c>
      <c r="S84" s="43">
        <v>46236</v>
      </c>
      <c r="T84">
        <f t="shared" si="34"/>
        <v>585320</v>
      </c>
      <c r="U84">
        <f>T84</f>
        <v>585320</v>
      </c>
      <c r="V84">
        <f t="shared" si="35"/>
        <v>0</v>
      </c>
      <c r="W84" t="str">
        <f t="shared" si="36"/>
        <v>CUADRADO (3-WAY OK)</v>
      </c>
      <c r="X84">
        <f>SUMIFS(Detalle_OT!$I$2:$I$592,Detalle_OT!$B$2:$B$592,A84)</f>
        <v>585320</v>
      </c>
      <c r="Y84">
        <f>SUMIFS(Detalle_OT!$H$2:$H$592,Detalle_OT!$B$2:$B$592,A84,Detalle_OT!$C$2:$C$592,"Repuesto")</f>
        <v>293640</v>
      </c>
      <c r="Z84">
        <f>SUMIFS(Detalle_OT!$H$2:$H$592,Detalle_OT!$B$2:$B$592,A84,Detalle_OT!$C$2:$C$592,"Mano de Obra")</f>
        <v>97600</v>
      </c>
      <c r="AA84">
        <f t="shared" si="37"/>
        <v>194080</v>
      </c>
      <c r="AB84">
        <f t="shared" si="38"/>
        <v>0.33157930704571859</v>
      </c>
      <c r="AC84" t="str">
        <f t="shared" si="39"/>
        <v>Margen No Negativo Confirmado</v>
      </c>
      <c r="AD84" t="str">
        <f t="shared" si="40"/>
        <v>2026-07</v>
      </c>
      <c r="AE84" t="str">
        <f t="shared" si="41"/>
        <v>Semana 31</v>
      </c>
      <c r="AF84">
        <f t="shared" si="42"/>
        <v>1</v>
      </c>
      <c r="AG84">
        <f t="shared" si="43"/>
        <v>1</v>
      </c>
      <c r="AH84">
        <f>IF(AND(G84="",OR(I84="En Curso",I84="Reprogramada"),F84&lt;Dashboard!$B$5),1,0)</f>
        <v>0</v>
      </c>
      <c r="AI84">
        <f t="shared" si="44"/>
        <v>0</v>
      </c>
      <c r="AJ84">
        <f t="shared" si="45"/>
        <v>0</v>
      </c>
      <c r="AK84">
        <f>IF(SUMIFS(Detalle_OT!$J$2:$J$592,Detalle_OT!$B$2:$B$592,A84)&gt;0,1,0)</f>
        <v>0</v>
      </c>
      <c r="AL84">
        <f>IF(AND(OR(Dashboard!$D$5="Todos",AD84=Dashboard!$D$5),OR(Dashboard!$F$5="Todos",D84=Dashboard!$F$5),OR(Dashboard!$H$5="Todos",I84=Dashboard!$H$5)),1,0)</f>
        <v>1</v>
      </c>
      <c r="AM84">
        <f>IF(AND(OR(Control_Mandante!$C$4="Todos", AD84=Control_Mandante!$C$4), OR(Control_Mandante!$F$4="Todos", B84=Control_Mandante!$F$4), OR(Control_Mandante!$I$4="Todos", W84=Control_Mandante!$I$4), OR(Control_Mandante!$L$4="Todos", H84=Control_Mandante!$L$4)), 1, 0)</f>
        <v>1</v>
      </c>
      <c r="AN84" t="str">
        <f>IF(AH84=1, COUNTIF(AH$2:AH84, 1), "")</f>
        <v/>
      </c>
      <c r="AO84" t="str">
        <f>IF(AJ84=1, COUNTIF(AJ$2:AJ84, 1), "")</f>
        <v/>
      </c>
      <c r="AP84" t="str">
        <f>IF(AK84=1, COUNTIF(AK$2:AK84, 1), "")</f>
        <v/>
      </c>
    </row>
    <row r="85" spans="1:42" x14ac:dyDescent="0.25">
      <c r="A85" t="s">
        <v>690</v>
      </c>
      <c r="B85" t="s">
        <v>168</v>
      </c>
      <c r="C85" t="s">
        <v>691</v>
      </c>
      <c r="D85" t="s">
        <v>295</v>
      </c>
      <c r="E85" s="43">
        <v>46233</v>
      </c>
      <c r="F85" s="43">
        <v>46242</v>
      </c>
      <c r="G85" s="43">
        <v>46249</v>
      </c>
      <c r="H85" t="s">
        <v>227</v>
      </c>
      <c r="I85" t="s">
        <v>277</v>
      </c>
      <c r="J85" t="s">
        <v>692</v>
      </c>
      <c r="K85" s="43">
        <v>46233</v>
      </c>
      <c r="L85">
        <f t="shared" si="33"/>
        <v>1037070</v>
      </c>
      <c r="M85" t="s">
        <v>279</v>
      </c>
      <c r="N85" t="s">
        <v>693</v>
      </c>
      <c r="O85" s="43">
        <v>46234</v>
      </c>
      <c r="P85">
        <f t="shared" si="31"/>
        <v>1037070</v>
      </c>
      <c r="Q85" t="s">
        <v>281</v>
      </c>
      <c r="R85" t="s">
        <v>694</v>
      </c>
      <c r="S85" s="43">
        <v>46251</v>
      </c>
      <c r="T85">
        <f t="shared" si="34"/>
        <v>1037070</v>
      </c>
      <c r="U85">
        <f>T85*0.5</f>
        <v>518535</v>
      </c>
      <c r="V85">
        <f t="shared" si="35"/>
        <v>518535</v>
      </c>
      <c r="W85" t="str">
        <f t="shared" si="36"/>
        <v>CUADRADO (3-WAY OK)</v>
      </c>
      <c r="X85">
        <f>SUMIFS(Detalle_OT!$I$2:$I$592,Detalle_OT!$B$2:$B$592,A85)</f>
        <v>1037070</v>
      </c>
      <c r="Y85">
        <f>SUMIFS(Detalle_OT!$H$2:$H$592,Detalle_OT!$B$2:$B$592,A85,Detalle_OT!$C$2:$C$592,"Repuesto")</f>
        <v>437490</v>
      </c>
      <c r="Z85">
        <f>SUMIFS(Detalle_OT!$H$2:$H$592,Detalle_OT!$B$2:$B$592,A85,Detalle_OT!$C$2:$C$592,"Mano de Obra")</f>
        <v>192000</v>
      </c>
      <c r="AA85">
        <f t="shared" si="37"/>
        <v>407580</v>
      </c>
      <c r="AB85">
        <f t="shared" si="38"/>
        <v>0.39301107929069395</v>
      </c>
      <c r="AC85" t="str">
        <f t="shared" si="39"/>
        <v>Margen No Negativo Confirmado</v>
      </c>
      <c r="AD85" t="str">
        <f t="shared" si="40"/>
        <v>2026-07</v>
      </c>
      <c r="AE85" t="str">
        <f t="shared" si="41"/>
        <v>Semana 31</v>
      </c>
      <c r="AF85">
        <f t="shared" si="42"/>
        <v>16</v>
      </c>
      <c r="AG85">
        <f t="shared" si="43"/>
        <v>0</v>
      </c>
      <c r="AH85">
        <f>IF(AND(G85="",OR(I85="En Curso",I85="Reprogramada"),F85&lt;Dashboard!$B$5),1,0)</f>
        <v>0</v>
      </c>
      <c r="AI85">
        <f t="shared" si="44"/>
        <v>0</v>
      </c>
      <c r="AJ85">
        <f t="shared" si="45"/>
        <v>0</v>
      </c>
      <c r="AK85">
        <f>IF(SUMIFS(Detalle_OT!$J$2:$J$592,Detalle_OT!$B$2:$B$592,A85)&gt;0,1,0)</f>
        <v>0</v>
      </c>
      <c r="AL85">
        <f>IF(AND(OR(Dashboard!$D$5="Todos",AD85=Dashboard!$D$5),OR(Dashboard!$F$5="Todos",D85=Dashboard!$F$5),OR(Dashboard!$H$5="Todos",I85=Dashboard!$H$5)),1,0)</f>
        <v>1</v>
      </c>
      <c r="AM85">
        <f>IF(AND(OR(Control_Mandante!$C$4="Todos", AD85=Control_Mandante!$C$4), OR(Control_Mandante!$F$4="Todos", B85=Control_Mandante!$F$4), OR(Control_Mandante!$I$4="Todos", W85=Control_Mandante!$I$4), OR(Control_Mandante!$L$4="Todos", H85=Control_Mandante!$L$4)), 1, 0)</f>
        <v>1</v>
      </c>
      <c r="AN85" t="str">
        <f>IF(AH85=1, COUNTIF(AH$2:AH85, 1), "")</f>
        <v/>
      </c>
      <c r="AO85" t="str">
        <f>IF(AJ85=1, COUNTIF(AJ$2:AJ85, 1), "")</f>
        <v/>
      </c>
      <c r="AP85" t="str">
        <f>IF(AK85=1, COUNTIF(AK$2:AK85, 1), "")</f>
        <v/>
      </c>
    </row>
    <row r="86" spans="1:42" x14ac:dyDescent="0.25">
      <c r="A86" t="s">
        <v>695</v>
      </c>
      <c r="B86" t="s">
        <v>187</v>
      </c>
      <c r="C86" t="s">
        <v>696</v>
      </c>
      <c r="D86" t="s">
        <v>276</v>
      </c>
      <c r="E86" s="43">
        <v>46234</v>
      </c>
      <c r="F86" s="43">
        <v>46236</v>
      </c>
      <c r="G86" s="43">
        <v>46234</v>
      </c>
      <c r="H86" t="s">
        <v>218</v>
      </c>
      <c r="I86" t="s">
        <v>277</v>
      </c>
      <c r="J86" t="s">
        <v>697</v>
      </c>
      <c r="K86" s="43">
        <v>46234</v>
      </c>
      <c r="L86">
        <f t="shared" si="33"/>
        <v>236700</v>
      </c>
      <c r="M86" t="s">
        <v>279</v>
      </c>
      <c r="N86" t="s">
        <v>698</v>
      </c>
      <c r="O86" s="43">
        <v>46235</v>
      </c>
      <c r="P86">
        <f t="shared" si="31"/>
        <v>236700</v>
      </c>
      <c r="Q86" t="s">
        <v>281</v>
      </c>
      <c r="R86" t="s">
        <v>699</v>
      </c>
      <c r="S86" s="43">
        <v>46236</v>
      </c>
      <c r="T86">
        <f t="shared" si="34"/>
        <v>236700</v>
      </c>
      <c r="U86">
        <f>T86</f>
        <v>236700</v>
      </c>
      <c r="V86">
        <f t="shared" si="35"/>
        <v>0</v>
      </c>
      <c r="W86" t="str">
        <f t="shared" si="36"/>
        <v>CUADRADO (3-WAY OK)</v>
      </c>
      <c r="X86">
        <f>SUMIFS(Detalle_OT!$I$2:$I$592,Detalle_OT!$B$2:$B$592,A86)</f>
        <v>236700</v>
      </c>
      <c r="Y86">
        <f>SUMIFS(Detalle_OT!$H$2:$H$592,Detalle_OT!$B$2:$B$592,A86,Detalle_OT!$C$2:$C$592,"Repuesto")</f>
        <v>83200</v>
      </c>
      <c r="Z86">
        <f>SUMIFS(Detalle_OT!$H$2:$H$592,Detalle_OT!$B$2:$B$592,A86,Detalle_OT!$C$2:$C$592,"Mano de Obra")</f>
        <v>66000</v>
      </c>
      <c r="AA86">
        <f t="shared" si="37"/>
        <v>87500</v>
      </c>
      <c r="AB86">
        <f t="shared" si="38"/>
        <v>0.369666244190959</v>
      </c>
      <c r="AC86" t="str">
        <f t="shared" si="39"/>
        <v>Margen No Negativo Confirmado</v>
      </c>
      <c r="AD86" t="str">
        <f t="shared" si="40"/>
        <v>2026-07</v>
      </c>
      <c r="AE86" t="str">
        <f t="shared" si="41"/>
        <v>Semana 31</v>
      </c>
      <c r="AF86">
        <f t="shared" si="42"/>
        <v>0</v>
      </c>
      <c r="AG86">
        <f t="shared" si="43"/>
        <v>1</v>
      </c>
      <c r="AH86">
        <f>IF(AND(G86="",OR(I86="En Curso",I86="Reprogramada"),F86&lt;Dashboard!$B$5),1,0)</f>
        <v>0</v>
      </c>
      <c r="AI86">
        <f t="shared" si="44"/>
        <v>0</v>
      </c>
      <c r="AJ86">
        <f t="shared" si="45"/>
        <v>0</v>
      </c>
      <c r="AK86">
        <f>IF(SUMIFS(Detalle_OT!$J$2:$J$592,Detalle_OT!$B$2:$B$592,A86)&gt;0,1,0)</f>
        <v>0</v>
      </c>
      <c r="AL86">
        <f>IF(AND(OR(Dashboard!$D$5="Todos",AD86=Dashboard!$D$5),OR(Dashboard!$F$5="Todos",D86=Dashboard!$F$5),OR(Dashboard!$H$5="Todos",I86=Dashboard!$H$5)),1,0)</f>
        <v>1</v>
      </c>
      <c r="AM86">
        <f>IF(AND(OR(Control_Mandante!$C$4="Todos", AD86=Control_Mandante!$C$4), OR(Control_Mandante!$F$4="Todos", B86=Control_Mandante!$F$4), OR(Control_Mandante!$I$4="Todos", W86=Control_Mandante!$I$4), OR(Control_Mandante!$L$4="Todos", H86=Control_Mandante!$L$4)), 1, 0)</f>
        <v>1</v>
      </c>
      <c r="AN86" t="str">
        <f>IF(AH86=1, COUNTIF(AH$2:AH86, 1), "")</f>
        <v/>
      </c>
      <c r="AO86" t="str">
        <f>IF(AJ86=1, COUNTIF(AJ$2:AJ86, 1), "")</f>
        <v/>
      </c>
      <c r="AP86" t="str">
        <f>IF(AK86=1, COUNTIF(AK$2:AK86, 1), "")</f>
        <v/>
      </c>
    </row>
    <row r="87" spans="1:42" x14ac:dyDescent="0.25">
      <c r="A87" t="s">
        <v>700</v>
      </c>
      <c r="B87" t="s">
        <v>200</v>
      </c>
      <c r="C87" t="s">
        <v>701</v>
      </c>
      <c r="D87" t="s">
        <v>301</v>
      </c>
      <c r="E87" s="43">
        <v>46234</v>
      </c>
      <c r="F87" s="43">
        <v>46240</v>
      </c>
      <c r="G87" s="43">
        <v>46240</v>
      </c>
      <c r="H87" t="s">
        <v>218</v>
      </c>
      <c r="I87" t="s">
        <v>277</v>
      </c>
      <c r="J87" t="s">
        <v>702</v>
      </c>
      <c r="K87" s="43">
        <v>46234</v>
      </c>
      <c r="L87">
        <f t="shared" si="33"/>
        <v>436310</v>
      </c>
      <c r="M87" t="s">
        <v>279</v>
      </c>
      <c r="N87" t="s">
        <v>703</v>
      </c>
      <c r="O87" s="43">
        <v>46235</v>
      </c>
      <c r="P87">
        <f t="shared" si="31"/>
        <v>436310</v>
      </c>
      <c r="Q87" t="s">
        <v>281</v>
      </c>
      <c r="R87" t="s">
        <v>704</v>
      </c>
      <c r="S87" s="43">
        <v>46242</v>
      </c>
      <c r="T87">
        <f t="shared" si="34"/>
        <v>436310</v>
      </c>
      <c r="U87">
        <f>T87</f>
        <v>436310</v>
      </c>
      <c r="V87">
        <f t="shared" si="35"/>
        <v>0</v>
      </c>
      <c r="W87" t="str">
        <f t="shared" si="36"/>
        <v>CUADRADO (3-WAY OK)</v>
      </c>
      <c r="X87">
        <f>SUMIFS(Detalle_OT!$I$2:$I$592,Detalle_OT!$B$2:$B$592,A87)</f>
        <v>436310</v>
      </c>
      <c r="Y87">
        <f>SUMIFS(Detalle_OT!$H$2:$H$592,Detalle_OT!$B$2:$B$592,A87,Detalle_OT!$C$2:$C$592,"Repuesto")</f>
        <v>451330</v>
      </c>
      <c r="Z87">
        <f>SUMIFS(Detalle_OT!$H$2:$H$592,Detalle_OT!$B$2:$B$592,A87,Detalle_OT!$C$2:$C$592,"Mano de Obra")</f>
        <v>62000</v>
      </c>
      <c r="AA87">
        <f t="shared" si="37"/>
        <v>-77020</v>
      </c>
      <c r="AB87">
        <f t="shared" si="38"/>
        <v>-0.17652586463752837</v>
      </c>
      <c r="AC87" t="str">
        <f t="shared" si="39"/>
        <v>Margen Negativo Confirmado</v>
      </c>
      <c r="AD87" t="str">
        <f t="shared" si="40"/>
        <v>2026-07</v>
      </c>
      <c r="AE87" t="str">
        <f t="shared" si="41"/>
        <v>Semana 31</v>
      </c>
      <c r="AF87">
        <f t="shared" si="42"/>
        <v>6</v>
      </c>
      <c r="AG87">
        <f t="shared" si="43"/>
        <v>1</v>
      </c>
      <c r="AH87">
        <f>IF(AND(G87="",OR(I87="En Curso",I87="Reprogramada"),F87&lt;Dashboard!$B$5),1,0)</f>
        <v>0</v>
      </c>
      <c r="AI87">
        <f t="shared" si="44"/>
        <v>0</v>
      </c>
      <c r="AJ87">
        <f t="shared" si="45"/>
        <v>0</v>
      </c>
      <c r="AK87">
        <f>IF(SUMIFS(Detalle_OT!$J$2:$J$592,Detalle_OT!$B$2:$B$592,A87)&gt;0,1,0)</f>
        <v>0</v>
      </c>
      <c r="AL87">
        <f>IF(AND(OR(Dashboard!$D$5="Todos",AD87=Dashboard!$D$5),OR(Dashboard!$F$5="Todos",D87=Dashboard!$F$5),OR(Dashboard!$H$5="Todos",I87=Dashboard!$H$5)),1,0)</f>
        <v>1</v>
      </c>
      <c r="AM87">
        <f>IF(AND(OR(Control_Mandante!$C$4="Todos", AD87=Control_Mandante!$C$4), OR(Control_Mandante!$F$4="Todos", B87=Control_Mandante!$F$4), OR(Control_Mandante!$I$4="Todos", W87=Control_Mandante!$I$4), OR(Control_Mandante!$L$4="Todos", H87=Control_Mandante!$L$4)), 1, 0)</f>
        <v>1</v>
      </c>
      <c r="AN87" t="str">
        <f>IF(AH87=1, COUNTIF(AH$2:AH87, 1), "")</f>
        <v/>
      </c>
      <c r="AO87" t="str">
        <f>IF(AJ87=1, COUNTIF(AJ$2:AJ87, 1), "")</f>
        <v/>
      </c>
      <c r="AP87" t="str">
        <f>IF(AK87=1, COUNTIF(AK$2:AK87, 1), "")</f>
        <v/>
      </c>
    </row>
    <row r="88" spans="1:42" x14ac:dyDescent="0.25">
      <c r="A88" t="s">
        <v>705</v>
      </c>
      <c r="B88" t="s">
        <v>165</v>
      </c>
      <c r="C88" t="s">
        <v>706</v>
      </c>
      <c r="D88" t="s">
        <v>276</v>
      </c>
      <c r="E88" s="43">
        <v>46235</v>
      </c>
      <c r="F88" s="43">
        <v>46238</v>
      </c>
      <c r="G88" s="43">
        <v>46241</v>
      </c>
      <c r="H88" t="s">
        <v>215</v>
      </c>
      <c r="I88" t="s">
        <v>290</v>
      </c>
      <c r="J88" t="s">
        <v>707</v>
      </c>
      <c r="K88" s="43">
        <v>46235</v>
      </c>
      <c r="L88">
        <f t="shared" si="33"/>
        <v>549400</v>
      </c>
      <c r="M88" t="s">
        <v>279</v>
      </c>
      <c r="N88" t="s">
        <v>708</v>
      </c>
      <c r="O88" s="43">
        <v>46236</v>
      </c>
      <c r="P88">
        <f t="shared" ref="P88:P119" si="46">X88</f>
        <v>549400</v>
      </c>
      <c r="Q88" t="s">
        <v>281</v>
      </c>
      <c r="T88">
        <v>0</v>
      </c>
      <c r="U88">
        <v>0</v>
      </c>
      <c r="V88">
        <f t="shared" si="35"/>
        <v>0</v>
      </c>
      <c r="W88" t="str">
        <f t="shared" si="36"/>
        <v>OC Recibida - Pendiente Factura</v>
      </c>
      <c r="X88">
        <f>SUMIFS(Detalle_OT!$I$2:$I$592,Detalle_OT!$B$2:$B$592,A88)</f>
        <v>549400</v>
      </c>
      <c r="Y88">
        <f>SUMIFS(Detalle_OT!$H$2:$H$592,Detalle_OT!$B$2:$B$592,A88,Detalle_OT!$C$2:$C$592,"Repuesto")</f>
        <v>412680</v>
      </c>
      <c r="Z88">
        <f>SUMIFS(Detalle_OT!$H$2:$H$592,Detalle_OT!$B$2:$B$592,A88,Detalle_OT!$C$2:$C$592,"Mano de Obra")</f>
        <v>116200</v>
      </c>
      <c r="AA88">
        <f t="shared" si="37"/>
        <v>20520</v>
      </c>
      <c r="AB88">
        <f t="shared" si="38"/>
        <v>3.7349836184929014E-2</v>
      </c>
      <c r="AC88" t="str">
        <f t="shared" si="39"/>
        <v>Margen No Negativo Confirmado</v>
      </c>
      <c r="AD88" t="str">
        <f t="shared" si="40"/>
        <v>2026-08</v>
      </c>
      <c r="AE88" t="str">
        <f t="shared" si="41"/>
        <v>Semana 31</v>
      </c>
      <c r="AF88">
        <f t="shared" si="42"/>
        <v>6</v>
      </c>
      <c r="AG88">
        <f t="shared" si="43"/>
        <v>0</v>
      </c>
      <c r="AH88">
        <f>IF(AND(G88="",OR(I88="En Curso",I88="Reprogramada"),F88&lt;Dashboard!$B$5),1,0)</f>
        <v>0</v>
      </c>
      <c r="AI88">
        <f t="shared" si="44"/>
        <v>0</v>
      </c>
      <c r="AJ88">
        <f t="shared" si="45"/>
        <v>1</v>
      </c>
      <c r="AK88">
        <f>IF(SUMIFS(Detalle_OT!$J$2:$J$592,Detalle_OT!$B$2:$B$592,A88)&gt;0,1,0)</f>
        <v>0</v>
      </c>
      <c r="AL88">
        <f>IF(AND(OR(Dashboard!$D$5="Todos",AD88=Dashboard!$D$5),OR(Dashboard!$F$5="Todos",D88=Dashboard!$F$5),OR(Dashboard!$H$5="Todos",I88=Dashboard!$H$5)),1,0)</f>
        <v>1</v>
      </c>
      <c r="AM88">
        <f>IF(AND(OR(Control_Mandante!$C$4="Todos", AD88=Control_Mandante!$C$4), OR(Control_Mandante!$F$4="Todos", B88=Control_Mandante!$F$4), OR(Control_Mandante!$I$4="Todos", W88=Control_Mandante!$I$4), OR(Control_Mandante!$L$4="Todos", H88=Control_Mandante!$L$4)), 1, 0)</f>
        <v>1</v>
      </c>
      <c r="AN88" t="str">
        <f>IF(AH88=1, COUNTIF(AH$2:AH88, 1), "")</f>
        <v/>
      </c>
      <c r="AO88">
        <f>IF(AJ88=1, COUNTIF(AJ$2:AJ88, 1), "")</f>
        <v>4</v>
      </c>
      <c r="AP88" t="str">
        <f>IF(AK88=1, COUNTIF(AK$2:AK88, 1), "")</f>
        <v/>
      </c>
    </row>
    <row r="89" spans="1:42" x14ac:dyDescent="0.25">
      <c r="A89" t="s">
        <v>709</v>
      </c>
      <c r="B89" t="s">
        <v>162</v>
      </c>
      <c r="C89" t="s">
        <v>710</v>
      </c>
      <c r="D89" t="s">
        <v>276</v>
      </c>
      <c r="E89" s="43">
        <v>46235</v>
      </c>
      <c r="F89" s="43">
        <v>46238</v>
      </c>
      <c r="G89" s="43">
        <v>46238</v>
      </c>
      <c r="H89" t="s">
        <v>218</v>
      </c>
      <c r="I89" t="s">
        <v>277</v>
      </c>
      <c r="J89" t="s">
        <v>711</v>
      </c>
      <c r="K89" s="43">
        <v>46235</v>
      </c>
      <c r="L89">
        <f t="shared" si="33"/>
        <v>144900</v>
      </c>
      <c r="M89" t="s">
        <v>279</v>
      </c>
      <c r="N89" t="s">
        <v>712</v>
      </c>
      <c r="O89" s="43">
        <v>46236</v>
      </c>
      <c r="P89">
        <f t="shared" si="46"/>
        <v>144900</v>
      </c>
      <c r="Q89" t="s">
        <v>281</v>
      </c>
      <c r="R89" t="s">
        <v>713</v>
      </c>
      <c r="S89" s="43">
        <v>46240</v>
      </c>
      <c r="T89">
        <f t="shared" ref="T89:T98" si="47">X89</f>
        <v>144900</v>
      </c>
      <c r="U89">
        <f>T89</f>
        <v>144900</v>
      </c>
      <c r="V89">
        <f t="shared" si="35"/>
        <v>0</v>
      </c>
      <c r="W89" t="str">
        <f t="shared" si="36"/>
        <v>CUADRADO (3-WAY OK)</v>
      </c>
      <c r="X89">
        <f>SUMIFS(Detalle_OT!$I$2:$I$592,Detalle_OT!$B$2:$B$592,A89)</f>
        <v>144900</v>
      </c>
      <c r="Y89">
        <f>SUMIFS(Detalle_OT!$H$2:$H$592,Detalle_OT!$B$2:$B$592,A89,Detalle_OT!$C$2:$C$592,"Repuesto")</f>
        <v>21660</v>
      </c>
      <c r="Z89">
        <f>SUMIFS(Detalle_OT!$H$2:$H$592,Detalle_OT!$B$2:$B$592,A89,Detalle_OT!$C$2:$C$592,"Mano de Obra")</f>
        <v>62000</v>
      </c>
      <c r="AA89">
        <f t="shared" si="37"/>
        <v>61240</v>
      </c>
      <c r="AB89">
        <f t="shared" si="38"/>
        <v>0.42263630089717047</v>
      </c>
      <c r="AC89" t="str">
        <f t="shared" si="39"/>
        <v>Margen No Negativo Confirmado</v>
      </c>
      <c r="AD89" t="str">
        <f t="shared" si="40"/>
        <v>2026-08</v>
      </c>
      <c r="AE89" t="str">
        <f t="shared" si="41"/>
        <v>Semana 31</v>
      </c>
      <c r="AF89">
        <f t="shared" si="42"/>
        <v>3</v>
      </c>
      <c r="AG89">
        <f t="shared" si="43"/>
        <v>1</v>
      </c>
      <c r="AH89">
        <f>IF(AND(G89="",OR(I89="En Curso",I89="Reprogramada"),F89&lt;Dashboard!$B$5),1,0)</f>
        <v>0</v>
      </c>
      <c r="AI89">
        <f t="shared" si="44"/>
        <v>0</v>
      </c>
      <c r="AJ89">
        <f t="shared" si="45"/>
        <v>0</v>
      </c>
      <c r="AK89">
        <f>IF(SUMIFS(Detalle_OT!$J$2:$J$592,Detalle_OT!$B$2:$B$592,A89)&gt;0,1,0)</f>
        <v>0</v>
      </c>
      <c r="AL89">
        <f>IF(AND(OR(Dashboard!$D$5="Todos",AD89=Dashboard!$D$5),OR(Dashboard!$F$5="Todos",D89=Dashboard!$F$5),OR(Dashboard!$H$5="Todos",I89=Dashboard!$H$5)),1,0)</f>
        <v>1</v>
      </c>
      <c r="AM89">
        <f>IF(AND(OR(Control_Mandante!$C$4="Todos", AD89=Control_Mandante!$C$4), OR(Control_Mandante!$F$4="Todos", B89=Control_Mandante!$F$4), OR(Control_Mandante!$I$4="Todos", W89=Control_Mandante!$I$4), OR(Control_Mandante!$L$4="Todos", H89=Control_Mandante!$L$4)), 1, 0)</f>
        <v>1</v>
      </c>
      <c r="AN89" t="str">
        <f>IF(AH89=1, COUNTIF(AH$2:AH89, 1), "")</f>
        <v/>
      </c>
      <c r="AO89" t="str">
        <f>IF(AJ89=1, COUNTIF(AJ$2:AJ89, 1), "")</f>
        <v/>
      </c>
      <c r="AP89" t="str">
        <f>IF(AK89=1, COUNTIF(AK$2:AK89, 1), "")</f>
        <v/>
      </c>
    </row>
    <row r="90" spans="1:42" x14ac:dyDescent="0.25">
      <c r="A90" t="s">
        <v>714</v>
      </c>
      <c r="B90" t="s">
        <v>180</v>
      </c>
      <c r="C90" t="s">
        <v>715</v>
      </c>
      <c r="D90" t="s">
        <v>276</v>
      </c>
      <c r="E90" s="43">
        <v>46235</v>
      </c>
      <c r="F90" s="43">
        <v>46239</v>
      </c>
      <c r="G90" s="43">
        <v>46241</v>
      </c>
      <c r="H90" t="s">
        <v>218</v>
      </c>
      <c r="I90" t="s">
        <v>277</v>
      </c>
      <c r="J90" t="s">
        <v>716</v>
      </c>
      <c r="K90" s="43">
        <v>46235</v>
      </c>
      <c r="L90">
        <f t="shared" si="33"/>
        <v>199050</v>
      </c>
      <c r="M90" t="s">
        <v>279</v>
      </c>
      <c r="N90" t="s">
        <v>717</v>
      </c>
      <c r="O90" s="43">
        <v>46236</v>
      </c>
      <c r="P90">
        <f t="shared" si="46"/>
        <v>199050</v>
      </c>
      <c r="Q90" t="s">
        <v>281</v>
      </c>
      <c r="R90" t="s">
        <v>718</v>
      </c>
      <c r="S90" s="43">
        <v>46243</v>
      </c>
      <c r="T90">
        <f t="shared" si="47"/>
        <v>199050</v>
      </c>
      <c r="U90">
        <f>T90</f>
        <v>199050</v>
      </c>
      <c r="V90">
        <f t="shared" si="35"/>
        <v>0</v>
      </c>
      <c r="W90" t="str">
        <f t="shared" si="36"/>
        <v>CUADRADO (3-WAY OK)</v>
      </c>
      <c r="X90">
        <f>SUMIFS(Detalle_OT!$I$2:$I$592,Detalle_OT!$B$2:$B$592,A90)</f>
        <v>199050</v>
      </c>
      <c r="Y90">
        <f>SUMIFS(Detalle_OT!$H$2:$H$592,Detalle_OT!$B$2:$B$592,A90,Detalle_OT!$C$2:$C$592,"Repuesto")</f>
        <v>78080</v>
      </c>
      <c r="Z90">
        <f>SUMIFS(Detalle_OT!$H$2:$H$592,Detalle_OT!$B$2:$B$592,A90,Detalle_OT!$C$2:$C$592,"Mano de Obra")</f>
        <v>51200</v>
      </c>
      <c r="AA90">
        <f t="shared" si="37"/>
        <v>69770</v>
      </c>
      <c r="AB90">
        <f t="shared" si="38"/>
        <v>0.350514945993469</v>
      </c>
      <c r="AC90" t="str">
        <f t="shared" si="39"/>
        <v>Margen No Negativo Confirmado</v>
      </c>
      <c r="AD90" t="str">
        <f t="shared" si="40"/>
        <v>2026-08</v>
      </c>
      <c r="AE90" t="str">
        <f t="shared" si="41"/>
        <v>Semana 31</v>
      </c>
      <c r="AF90">
        <f t="shared" si="42"/>
        <v>6</v>
      </c>
      <c r="AG90">
        <f t="shared" si="43"/>
        <v>0</v>
      </c>
      <c r="AH90">
        <f>IF(AND(G90="",OR(I90="En Curso",I90="Reprogramada"),F90&lt;Dashboard!$B$5),1,0)</f>
        <v>0</v>
      </c>
      <c r="AI90">
        <f t="shared" si="44"/>
        <v>0</v>
      </c>
      <c r="AJ90">
        <f t="shared" si="45"/>
        <v>0</v>
      </c>
      <c r="AK90">
        <f>IF(SUMIFS(Detalle_OT!$J$2:$J$592,Detalle_OT!$B$2:$B$592,A90)&gt;0,1,0)</f>
        <v>0</v>
      </c>
      <c r="AL90">
        <f>IF(AND(OR(Dashboard!$D$5="Todos",AD90=Dashboard!$D$5),OR(Dashboard!$F$5="Todos",D90=Dashboard!$F$5),OR(Dashboard!$H$5="Todos",I90=Dashboard!$H$5)),1,0)</f>
        <v>1</v>
      </c>
      <c r="AM90">
        <f>IF(AND(OR(Control_Mandante!$C$4="Todos", AD90=Control_Mandante!$C$4), OR(Control_Mandante!$F$4="Todos", B90=Control_Mandante!$F$4), OR(Control_Mandante!$I$4="Todos", W90=Control_Mandante!$I$4), OR(Control_Mandante!$L$4="Todos", H90=Control_Mandante!$L$4)), 1, 0)</f>
        <v>1</v>
      </c>
      <c r="AN90" t="str">
        <f>IF(AH90=1, COUNTIF(AH$2:AH90, 1), "")</f>
        <v/>
      </c>
      <c r="AO90" t="str">
        <f>IF(AJ90=1, COUNTIF(AJ$2:AJ90, 1), "")</f>
        <v/>
      </c>
      <c r="AP90" t="str">
        <f>IF(AK90=1, COUNTIF(AK$2:AK90, 1), "")</f>
        <v/>
      </c>
    </row>
    <row r="91" spans="1:42" x14ac:dyDescent="0.25">
      <c r="A91" t="s">
        <v>719</v>
      </c>
      <c r="B91" t="s">
        <v>193</v>
      </c>
      <c r="C91" t="s">
        <v>720</v>
      </c>
      <c r="D91" t="s">
        <v>276</v>
      </c>
      <c r="E91" s="43">
        <v>46235</v>
      </c>
      <c r="F91" s="43">
        <v>46238</v>
      </c>
      <c r="G91" s="43">
        <v>46236</v>
      </c>
      <c r="H91" t="s">
        <v>215</v>
      </c>
      <c r="I91" t="s">
        <v>277</v>
      </c>
      <c r="J91" t="s">
        <v>721</v>
      </c>
      <c r="K91" s="43">
        <v>46235</v>
      </c>
      <c r="L91">
        <f t="shared" si="33"/>
        <v>213000</v>
      </c>
      <c r="M91" t="s">
        <v>279</v>
      </c>
      <c r="N91" t="s">
        <v>722</v>
      </c>
      <c r="O91" s="43">
        <v>46236</v>
      </c>
      <c r="P91">
        <f t="shared" si="46"/>
        <v>213000</v>
      </c>
      <c r="Q91" t="s">
        <v>281</v>
      </c>
      <c r="R91" t="s">
        <v>723</v>
      </c>
      <c r="S91" s="43">
        <v>46238</v>
      </c>
      <c r="T91">
        <f t="shared" si="47"/>
        <v>213000</v>
      </c>
      <c r="U91">
        <f>T91*0.5</f>
        <v>106500</v>
      </c>
      <c r="V91">
        <f t="shared" si="35"/>
        <v>106500</v>
      </c>
      <c r="W91" t="str">
        <f t="shared" si="36"/>
        <v>CUADRADO (3-WAY OK)</v>
      </c>
      <c r="X91">
        <f>SUMIFS(Detalle_OT!$I$2:$I$592,Detalle_OT!$B$2:$B$592,A91)</f>
        <v>213000</v>
      </c>
      <c r="Y91">
        <f>SUMIFS(Detalle_OT!$H$2:$H$592,Detalle_OT!$B$2:$B$592,A91,Detalle_OT!$C$2:$C$592,"Repuesto")</f>
        <v>134600</v>
      </c>
      <c r="Z91">
        <f>SUMIFS(Detalle_OT!$H$2:$H$592,Detalle_OT!$B$2:$B$592,A91,Detalle_OT!$C$2:$C$592,"Mano de Obra")</f>
        <v>24400</v>
      </c>
      <c r="AA91">
        <f t="shared" si="37"/>
        <v>54000</v>
      </c>
      <c r="AB91">
        <f t="shared" si="38"/>
        <v>0.25352112676056338</v>
      </c>
      <c r="AC91" t="str">
        <f t="shared" si="39"/>
        <v>Margen No Negativo Confirmado</v>
      </c>
      <c r="AD91" t="str">
        <f t="shared" si="40"/>
        <v>2026-08</v>
      </c>
      <c r="AE91" t="str">
        <f t="shared" si="41"/>
        <v>Semana 31</v>
      </c>
      <c r="AF91">
        <f t="shared" si="42"/>
        <v>1</v>
      </c>
      <c r="AG91">
        <f t="shared" si="43"/>
        <v>1</v>
      </c>
      <c r="AH91">
        <f>IF(AND(G91="",OR(I91="En Curso",I91="Reprogramada"),F91&lt;Dashboard!$B$5),1,0)</f>
        <v>0</v>
      </c>
      <c r="AI91">
        <f t="shared" si="44"/>
        <v>0</v>
      </c>
      <c r="AJ91">
        <f t="shared" si="45"/>
        <v>0</v>
      </c>
      <c r="AK91">
        <f>IF(SUMIFS(Detalle_OT!$J$2:$J$592,Detalle_OT!$B$2:$B$592,A91)&gt;0,1,0)</f>
        <v>0</v>
      </c>
      <c r="AL91">
        <f>IF(AND(OR(Dashboard!$D$5="Todos",AD91=Dashboard!$D$5),OR(Dashboard!$F$5="Todos",D91=Dashboard!$F$5),OR(Dashboard!$H$5="Todos",I91=Dashboard!$H$5)),1,0)</f>
        <v>1</v>
      </c>
      <c r="AM91">
        <f>IF(AND(OR(Control_Mandante!$C$4="Todos", AD91=Control_Mandante!$C$4), OR(Control_Mandante!$F$4="Todos", B91=Control_Mandante!$F$4), OR(Control_Mandante!$I$4="Todos", W91=Control_Mandante!$I$4), OR(Control_Mandante!$L$4="Todos", H91=Control_Mandante!$L$4)), 1, 0)</f>
        <v>1</v>
      </c>
      <c r="AN91" t="str">
        <f>IF(AH91=1, COUNTIF(AH$2:AH91, 1), "")</f>
        <v/>
      </c>
      <c r="AO91" t="str">
        <f>IF(AJ91=1, COUNTIF(AJ$2:AJ91, 1), "")</f>
        <v/>
      </c>
      <c r="AP91" t="str">
        <f>IF(AK91=1, COUNTIF(AK$2:AK91, 1), "")</f>
        <v/>
      </c>
    </row>
    <row r="92" spans="1:42" x14ac:dyDescent="0.25">
      <c r="A92" t="s">
        <v>724</v>
      </c>
      <c r="B92" t="s">
        <v>171</v>
      </c>
      <c r="C92" t="s">
        <v>725</v>
      </c>
      <c r="D92" t="s">
        <v>276</v>
      </c>
      <c r="E92" s="43">
        <v>46236</v>
      </c>
      <c r="F92" s="43">
        <v>46240</v>
      </c>
      <c r="G92" s="43">
        <v>46240</v>
      </c>
      <c r="H92" t="s">
        <v>220</v>
      </c>
      <c r="I92" t="s">
        <v>277</v>
      </c>
      <c r="J92" t="s">
        <v>726</v>
      </c>
      <c r="K92" s="43">
        <v>46236</v>
      </c>
      <c r="L92">
        <f t="shared" si="33"/>
        <v>339060</v>
      </c>
      <c r="M92" t="s">
        <v>279</v>
      </c>
      <c r="N92" t="s">
        <v>727</v>
      </c>
      <c r="O92" s="43">
        <v>46237</v>
      </c>
      <c r="P92">
        <f t="shared" si="46"/>
        <v>339060</v>
      </c>
      <c r="Q92" t="s">
        <v>281</v>
      </c>
      <c r="R92" t="s">
        <v>728</v>
      </c>
      <c r="S92" s="43">
        <v>46242</v>
      </c>
      <c r="T92">
        <f t="shared" si="47"/>
        <v>339060</v>
      </c>
      <c r="U92">
        <f>T92</f>
        <v>339060</v>
      </c>
      <c r="V92">
        <f t="shared" si="35"/>
        <v>0</v>
      </c>
      <c r="W92" t="str">
        <f t="shared" si="36"/>
        <v>CUADRADO (3-WAY OK)</v>
      </c>
      <c r="X92">
        <f>SUMIFS(Detalle_OT!$I$2:$I$592,Detalle_OT!$B$2:$B$592,A92)</f>
        <v>339060</v>
      </c>
      <c r="Y92">
        <f>SUMIFS(Detalle_OT!$H$2:$H$592,Detalle_OT!$B$2:$B$592,A92,Detalle_OT!$C$2:$C$592,"Repuesto")</f>
        <v>96780</v>
      </c>
      <c r="Z92">
        <f>SUMIFS(Detalle_OT!$H$2:$H$592,Detalle_OT!$B$2:$B$592,A92,Detalle_OT!$C$2:$C$592,"Mano de Obra")</f>
        <v>114300</v>
      </c>
      <c r="AA92">
        <f t="shared" si="37"/>
        <v>127980</v>
      </c>
      <c r="AB92">
        <f t="shared" si="38"/>
        <v>0.37745531764289508</v>
      </c>
      <c r="AC92" t="str">
        <f t="shared" si="39"/>
        <v>Margen No Negativo Confirmado</v>
      </c>
      <c r="AD92" t="str">
        <f t="shared" si="40"/>
        <v>2026-08</v>
      </c>
      <c r="AE92" t="str">
        <f t="shared" si="41"/>
        <v>Semana 32</v>
      </c>
      <c r="AF92">
        <f t="shared" si="42"/>
        <v>4</v>
      </c>
      <c r="AG92">
        <f t="shared" si="43"/>
        <v>1</v>
      </c>
      <c r="AH92">
        <f>IF(AND(G92="",OR(I92="En Curso",I92="Reprogramada"),F92&lt;Dashboard!$B$5),1,0)</f>
        <v>0</v>
      </c>
      <c r="AI92">
        <f t="shared" si="44"/>
        <v>0</v>
      </c>
      <c r="AJ92">
        <f t="shared" si="45"/>
        <v>0</v>
      </c>
      <c r="AK92">
        <f>IF(SUMIFS(Detalle_OT!$J$2:$J$592,Detalle_OT!$B$2:$B$592,A92)&gt;0,1,0)</f>
        <v>0</v>
      </c>
      <c r="AL92">
        <f>IF(AND(OR(Dashboard!$D$5="Todos",AD92=Dashboard!$D$5),OR(Dashboard!$F$5="Todos",D92=Dashboard!$F$5),OR(Dashboard!$H$5="Todos",I92=Dashboard!$H$5)),1,0)</f>
        <v>1</v>
      </c>
      <c r="AM92">
        <f>IF(AND(OR(Control_Mandante!$C$4="Todos", AD92=Control_Mandante!$C$4), OR(Control_Mandante!$F$4="Todos", B92=Control_Mandante!$F$4), OR(Control_Mandante!$I$4="Todos", W92=Control_Mandante!$I$4), OR(Control_Mandante!$L$4="Todos", H92=Control_Mandante!$L$4)), 1, 0)</f>
        <v>1</v>
      </c>
      <c r="AN92" t="str">
        <f>IF(AH92=1, COUNTIF(AH$2:AH92, 1), "")</f>
        <v/>
      </c>
      <c r="AO92" t="str">
        <f>IF(AJ92=1, COUNTIF(AJ$2:AJ92, 1), "")</f>
        <v/>
      </c>
      <c r="AP92" t="str">
        <f>IF(AK92=1, COUNTIF(AK$2:AK92, 1), "")</f>
        <v/>
      </c>
    </row>
    <row r="93" spans="1:42" x14ac:dyDescent="0.25">
      <c r="A93" t="s">
        <v>729</v>
      </c>
      <c r="B93" t="s">
        <v>168</v>
      </c>
      <c r="C93" t="s">
        <v>730</v>
      </c>
      <c r="D93" t="s">
        <v>276</v>
      </c>
      <c r="E93" s="43">
        <v>46236</v>
      </c>
      <c r="F93" s="43">
        <v>46238</v>
      </c>
      <c r="G93" s="43">
        <v>46238</v>
      </c>
      <c r="H93" t="s">
        <v>215</v>
      </c>
      <c r="I93" t="s">
        <v>277</v>
      </c>
      <c r="J93" t="s">
        <v>731</v>
      </c>
      <c r="K93" s="43">
        <v>46236</v>
      </c>
      <c r="L93">
        <f t="shared" si="33"/>
        <v>227880</v>
      </c>
      <c r="M93" t="s">
        <v>279</v>
      </c>
      <c r="N93" t="s">
        <v>732</v>
      </c>
      <c r="O93" s="43">
        <v>46237</v>
      </c>
      <c r="P93">
        <f t="shared" si="46"/>
        <v>227880</v>
      </c>
      <c r="Q93" t="s">
        <v>281</v>
      </c>
      <c r="R93" t="s">
        <v>733</v>
      </c>
      <c r="S93" s="43">
        <v>46240</v>
      </c>
      <c r="T93">
        <f t="shared" si="47"/>
        <v>227880</v>
      </c>
      <c r="U93">
        <f>T93</f>
        <v>227880</v>
      </c>
      <c r="V93">
        <f t="shared" si="35"/>
        <v>0</v>
      </c>
      <c r="W93" t="str">
        <f t="shared" si="36"/>
        <v>CUADRADO (3-WAY OK)</v>
      </c>
      <c r="X93">
        <f>SUMIFS(Detalle_OT!$I$2:$I$592,Detalle_OT!$B$2:$B$592,A93)</f>
        <v>227880</v>
      </c>
      <c r="Y93">
        <f>SUMIFS(Detalle_OT!$H$2:$H$592,Detalle_OT!$B$2:$B$592,A93,Detalle_OT!$C$2:$C$592,"Repuesto")</f>
        <v>143940</v>
      </c>
      <c r="Z93">
        <f>SUMIFS(Detalle_OT!$H$2:$H$592,Detalle_OT!$B$2:$B$592,A93,Detalle_OT!$C$2:$C$592,"Mano de Obra")</f>
        <v>25800</v>
      </c>
      <c r="AA93">
        <f t="shared" si="37"/>
        <v>58140</v>
      </c>
      <c r="AB93">
        <f t="shared" si="38"/>
        <v>0.25513428120063192</v>
      </c>
      <c r="AC93" t="str">
        <f t="shared" si="39"/>
        <v>Margen No Negativo Confirmado</v>
      </c>
      <c r="AD93" t="str">
        <f t="shared" si="40"/>
        <v>2026-08</v>
      </c>
      <c r="AE93" t="str">
        <f t="shared" si="41"/>
        <v>Semana 32</v>
      </c>
      <c r="AF93">
        <f t="shared" si="42"/>
        <v>2</v>
      </c>
      <c r="AG93">
        <f t="shared" si="43"/>
        <v>1</v>
      </c>
      <c r="AH93">
        <f>IF(AND(G93="",OR(I93="En Curso",I93="Reprogramada"),F93&lt;Dashboard!$B$5),1,0)</f>
        <v>0</v>
      </c>
      <c r="AI93">
        <f t="shared" si="44"/>
        <v>0</v>
      </c>
      <c r="AJ93">
        <f t="shared" si="45"/>
        <v>0</v>
      </c>
      <c r="AK93">
        <f>IF(SUMIFS(Detalle_OT!$J$2:$J$592,Detalle_OT!$B$2:$B$592,A93)&gt;0,1,0)</f>
        <v>0</v>
      </c>
      <c r="AL93">
        <f>IF(AND(OR(Dashboard!$D$5="Todos",AD93=Dashboard!$D$5),OR(Dashboard!$F$5="Todos",D93=Dashboard!$F$5),OR(Dashboard!$H$5="Todos",I93=Dashboard!$H$5)),1,0)</f>
        <v>1</v>
      </c>
      <c r="AM93">
        <f>IF(AND(OR(Control_Mandante!$C$4="Todos", AD93=Control_Mandante!$C$4), OR(Control_Mandante!$F$4="Todos", B93=Control_Mandante!$F$4), OR(Control_Mandante!$I$4="Todos", W93=Control_Mandante!$I$4), OR(Control_Mandante!$L$4="Todos", H93=Control_Mandante!$L$4)), 1, 0)</f>
        <v>1</v>
      </c>
      <c r="AN93" t="str">
        <f>IF(AH93=1, COUNTIF(AH$2:AH93, 1), "")</f>
        <v/>
      </c>
      <c r="AO93" t="str">
        <f>IF(AJ93=1, COUNTIF(AJ$2:AJ93, 1), "")</f>
        <v/>
      </c>
      <c r="AP93" t="str">
        <f>IF(AK93=1, COUNTIF(AK$2:AK93, 1), "")</f>
        <v/>
      </c>
    </row>
    <row r="94" spans="1:42" x14ac:dyDescent="0.25">
      <c r="A94" t="s">
        <v>734</v>
      </c>
      <c r="B94" t="s">
        <v>155</v>
      </c>
      <c r="C94" t="s">
        <v>735</v>
      </c>
      <c r="D94" t="s">
        <v>276</v>
      </c>
      <c r="E94" s="43">
        <v>46236</v>
      </c>
      <c r="F94" s="43">
        <v>46238</v>
      </c>
      <c r="G94" s="43">
        <v>46246</v>
      </c>
      <c r="H94" t="s">
        <v>220</v>
      </c>
      <c r="I94" t="s">
        <v>277</v>
      </c>
      <c r="J94" t="s">
        <v>736</v>
      </c>
      <c r="K94" s="43">
        <v>46236</v>
      </c>
      <c r="L94">
        <f t="shared" si="33"/>
        <v>195020</v>
      </c>
      <c r="M94" t="s">
        <v>279</v>
      </c>
      <c r="N94" t="s">
        <v>737</v>
      </c>
      <c r="O94" s="43">
        <v>46237</v>
      </c>
      <c r="P94">
        <f t="shared" si="46"/>
        <v>195020</v>
      </c>
      <c r="Q94" t="s">
        <v>281</v>
      </c>
      <c r="R94" t="s">
        <v>738</v>
      </c>
      <c r="S94" s="43">
        <v>46248</v>
      </c>
      <c r="T94">
        <f t="shared" si="47"/>
        <v>195020</v>
      </c>
      <c r="U94">
        <f>T94*0.5</f>
        <v>97510</v>
      </c>
      <c r="V94">
        <f t="shared" si="35"/>
        <v>97510</v>
      </c>
      <c r="W94" t="str">
        <f t="shared" si="36"/>
        <v>CUADRADO (3-WAY OK)</v>
      </c>
      <c r="X94">
        <f>SUMIFS(Detalle_OT!$I$2:$I$592,Detalle_OT!$B$2:$B$592,A94)</f>
        <v>195020</v>
      </c>
      <c r="Y94">
        <f>SUMIFS(Detalle_OT!$H$2:$H$592,Detalle_OT!$B$2:$B$592,A94,Detalle_OT!$C$2:$C$592,"Repuesto")</f>
        <v>83110</v>
      </c>
      <c r="Z94">
        <f>SUMIFS(Detalle_OT!$H$2:$H$592,Detalle_OT!$B$2:$B$592,A94,Detalle_OT!$C$2:$C$592,"Mano de Obra")</f>
        <v>53200</v>
      </c>
      <c r="AA94">
        <f t="shared" si="37"/>
        <v>58710</v>
      </c>
      <c r="AB94">
        <f t="shared" si="38"/>
        <v>0.30104604655932726</v>
      </c>
      <c r="AC94" t="str">
        <f t="shared" si="39"/>
        <v>Margen No Negativo Confirmado</v>
      </c>
      <c r="AD94" t="str">
        <f t="shared" si="40"/>
        <v>2026-08</v>
      </c>
      <c r="AE94" t="str">
        <f t="shared" si="41"/>
        <v>Semana 32</v>
      </c>
      <c r="AF94">
        <f t="shared" si="42"/>
        <v>10</v>
      </c>
      <c r="AG94">
        <f t="shared" si="43"/>
        <v>0</v>
      </c>
      <c r="AH94">
        <f>IF(AND(G94="",OR(I94="En Curso",I94="Reprogramada"),F94&lt;Dashboard!$B$5),1,0)</f>
        <v>0</v>
      </c>
      <c r="AI94">
        <f t="shared" si="44"/>
        <v>0</v>
      </c>
      <c r="AJ94">
        <f t="shared" si="45"/>
        <v>0</v>
      </c>
      <c r="AK94">
        <f>IF(SUMIFS(Detalle_OT!$J$2:$J$592,Detalle_OT!$B$2:$B$592,A94)&gt;0,1,0)</f>
        <v>0</v>
      </c>
      <c r="AL94">
        <f>IF(AND(OR(Dashboard!$D$5="Todos",AD94=Dashboard!$D$5),OR(Dashboard!$F$5="Todos",D94=Dashboard!$F$5),OR(Dashboard!$H$5="Todos",I94=Dashboard!$H$5)),1,0)</f>
        <v>1</v>
      </c>
      <c r="AM94">
        <f>IF(AND(OR(Control_Mandante!$C$4="Todos", AD94=Control_Mandante!$C$4), OR(Control_Mandante!$F$4="Todos", B94=Control_Mandante!$F$4), OR(Control_Mandante!$I$4="Todos", W94=Control_Mandante!$I$4), OR(Control_Mandante!$L$4="Todos", H94=Control_Mandante!$L$4)), 1, 0)</f>
        <v>1</v>
      </c>
      <c r="AN94" t="str">
        <f>IF(AH94=1, COUNTIF(AH$2:AH94, 1), "")</f>
        <v/>
      </c>
      <c r="AO94" t="str">
        <f>IF(AJ94=1, COUNTIF(AJ$2:AJ94, 1), "")</f>
        <v/>
      </c>
      <c r="AP94" t="str">
        <f>IF(AK94=1, COUNTIF(AK$2:AK94, 1), "")</f>
        <v/>
      </c>
    </row>
    <row r="95" spans="1:42" x14ac:dyDescent="0.25">
      <c r="A95" t="s">
        <v>739</v>
      </c>
      <c r="B95" t="s">
        <v>171</v>
      </c>
      <c r="C95" t="s">
        <v>740</v>
      </c>
      <c r="D95" t="s">
        <v>301</v>
      </c>
      <c r="E95" s="43">
        <v>46236</v>
      </c>
      <c r="F95" s="43">
        <v>46240</v>
      </c>
      <c r="G95" s="43">
        <v>46240</v>
      </c>
      <c r="H95" t="s">
        <v>220</v>
      </c>
      <c r="I95" t="s">
        <v>277</v>
      </c>
      <c r="J95" t="s">
        <v>741</v>
      </c>
      <c r="K95" s="43">
        <v>46236</v>
      </c>
      <c r="L95">
        <f t="shared" si="33"/>
        <v>326340</v>
      </c>
      <c r="M95" t="s">
        <v>279</v>
      </c>
      <c r="N95" t="s">
        <v>742</v>
      </c>
      <c r="O95" s="43">
        <v>46237</v>
      </c>
      <c r="P95">
        <f t="shared" si="46"/>
        <v>326340</v>
      </c>
      <c r="Q95" t="s">
        <v>281</v>
      </c>
      <c r="R95" t="s">
        <v>743</v>
      </c>
      <c r="S95" s="43">
        <v>46242</v>
      </c>
      <c r="T95">
        <f t="shared" si="47"/>
        <v>326340</v>
      </c>
      <c r="U95">
        <f>T95</f>
        <v>326340</v>
      </c>
      <c r="V95">
        <f t="shared" si="35"/>
        <v>0</v>
      </c>
      <c r="W95" t="str">
        <f t="shared" si="36"/>
        <v>CUADRADO (3-WAY OK)</v>
      </c>
      <c r="X95">
        <f>SUMIFS(Detalle_OT!$I$2:$I$592,Detalle_OT!$B$2:$B$592,A95)</f>
        <v>326340</v>
      </c>
      <c r="Y95">
        <f>SUMIFS(Detalle_OT!$H$2:$H$592,Detalle_OT!$B$2:$B$592,A95,Detalle_OT!$C$2:$C$592,"Repuesto")</f>
        <v>98380</v>
      </c>
      <c r="Z95">
        <f>SUMIFS(Detalle_OT!$H$2:$H$592,Detalle_OT!$B$2:$B$592,A95,Detalle_OT!$C$2:$C$592,"Mano de Obra")</f>
        <v>108000</v>
      </c>
      <c r="AA95">
        <f t="shared" si="37"/>
        <v>119960</v>
      </c>
      <c r="AB95">
        <f t="shared" si="38"/>
        <v>0.36759208187779618</v>
      </c>
      <c r="AC95" t="str">
        <f t="shared" si="39"/>
        <v>Margen No Negativo Confirmado</v>
      </c>
      <c r="AD95" t="str">
        <f t="shared" si="40"/>
        <v>2026-08</v>
      </c>
      <c r="AE95" t="str">
        <f t="shared" si="41"/>
        <v>Semana 32</v>
      </c>
      <c r="AF95">
        <f t="shared" si="42"/>
        <v>4</v>
      </c>
      <c r="AG95">
        <f t="shared" si="43"/>
        <v>1</v>
      </c>
      <c r="AH95">
        <f>IF(AND(G95="",OR(I95="En Curso",I95="Reprogramada"),F95&lt;Dashboard!$B$5),1,0)</f>
        <v>0</v>
      </c>
      <c r="AI95">
        <f t="shared" si="44"/>
        <v>0</v>
      </c>
      <c r="AJ95">
        <f t="shared" si="45"/>
        <v>0</v>
      </c>
      <c r="AK95">
        <f>IF(SUMIFS(Detalle_OT!$J$2:$J$592,Detalle_OT!$B$2:$B$592,A95)&gt;0,1,0)</f>
        <v>0</v>
      </c>
      <c r="AL95">
        <f>IF(AND(OR(Dashboard!$D$5="Todos",AD95=Dashboard!$D$5),OR(Dashboard!$F$5="Todos",D95=Dashboard!$F$5),OR(Dashboard!$H$5="Todos",I95=Dashboard!$H$5)),1,0)</f>
        <v>1</v>
      </c>
      <c r="AM95">
        <f>IF(AND(OR(Control_Mandante!$C$4="Todos", AD95=Control_Mandante!$C$4), OR(Control_Mandante!$F$4="Todos", B95=Control_Mandante!$F$4), OR(Control_Mandante!$I$4="Todos", W95=Control_Mandante!$I$4), OR(Control_Mandante!$L$4="Todos", H95=Control_Mandante!$L$4)), 1, 0)</f>
        <v>1</v>
      </c>
      <c r="AN95" t="str">
        <f>IF(AH95=1, COUNTIF(AH$2:AH95, 1), "")</f>
        <v/>
      </c>
      <c r="AO95" t="str">
        <f>IF(AJ95=1, COUNTIF(AJ$2:AJ95, 1), "")</f>
        <v/>
      </c>
      <c r="AP95" t="str">
        <f>IF(AK95=1, COUNTIF(AK$2:AK95, 1), "")</f>
        <v/>
      </c>
    </row>
    <row r="96" spans="1:42" x14ac:dyDescent="0.25">
      <c r="A96" t="s">
        <v>744</v>
      </c>
      <c r="B96" t="s">
        <v>180</v>
      </c>
      <c r="C96" t="s">
        <v>745</v>
      </c>
      <c r="D96" t="s">
        <v>276</v>
      </c>
      <c r="E96" s="43">
        <v>46237</v>
      </c>
      <c r="F96" s="43">
        <v>46241</v>
      </c>
      <c r="G96" s="43">
        <v>46241</v>
      </c>
      <c r="H96" t="s">
        <v>220</v>
      </c>
      <c r="I96" t="s">
        <v>277</v>
      </c>
      <c r="J96" t="s">
        <v>746</v>
      </c>
      <c r="K96" s="43">
        <v>46237</v>
      </c>
      <c r="L96">
        <f t="shared" si="33"/>
        <v>164940</v>
      </c>
      <c r="M96" t="s">
        <v>279</v>
      </c>
      <c r="N96" t="s">
        <v>747</v>
      </c>
      <c r="O96" s="43">
        <v>46238</v>
      </c>
      <c r="P96">
        <f t="shared" si="46"/>
        <v>164940</v>
      </c>
      <c r="Q96" t="s">
        <v>281</v>
      </c>
      <c r="R96" t="s">
        <v>748</v>
      </c>
      <c r="S96" s="43">
        <v>46243</v>
      </c>
      <c r="T96">
        <f t="shared" si="47"/>
        <v>164940</v>
      </c>
      <c r="U96">
        <f>T96</f>
        <v>164940</v>
      </c>
      <c r="V96">
        <f t="shared" si="35"/>
        <v>0</v>
      </c>
      <c r="W96" t="str">
        <f t="shared" si="36"/>
        <v>CUADRADO (3-WAY OK)</v>
      </c>
      <c r="X96">
        <f>SUMIFS(Detalle_OT!$I$2:$I$592,Detalle_OT!$B$2:$B$592,A96)</f>
        <v>164940</v>
      </c>
      <c r="Y96">
        <f>SUMIFS(Detalle_OT!$H$2:$H$592,Detalle_OT!$B$2:$B$592,A96,Detalle_OT!$C$2:$C$592,"Repuesto")</f>
        <v>54460</v>
      </c>
      <c r="Z96">
        <f>SUMIFS(Detalle_OT!$H$2:$H$592,Detalle_OT!$B$2:$B$592,A96,Detalle_OT!$C$2:$C$592,"Mano de Obra")</f>
        <v>46000</v>
      </c>
      <c r="AA96">
        <f t="shared" si="37"/>
        <v>64480</v>
      </c>
      <c r="AB96">
        <f t="shared" si="38"/>
        <v>0.39093003516430219</v>
      </c>
      <c r="AC96" t="str">
        <f t="shared" si="39"/>
        <v>Margen No Negativo Confirmado</v>
      </c>
      <c r="AD96" t="str">
        <f t="shared" si="40"/>
        <v>2026-08</v>
      </c>
      <c r="AE96" t="str">
        <f t="shared" si="41"/>
        <v>Semana 32</v>
      </c>
      <c r="AF96">
        <f t="shared" si="42"/>
        <v>4</v>
      </c>
      <c r="AG96">
        <f t="shared" si="43"/>
        <v>1</v>
      </c>
      <c r="AH96">
        <f>IF(AND(G96="",OR(I96="En Curso",I96="Reprogramada"),F96&lt;Dashboard!$B$5),1,0)</f>
        <v>0</v>
      </c>
      <c r="AI96">
        <f t="shared" si="44"/>
        <v>0</v>
      </c>
      <c r="AJ96">
        <f t="shared" si="45"/>
        <v>0</v>
      </c>
      <c r="AK96">
        <f>IF(SUMIFS(Detalle_OT!$J$2:$J$592,Detalle_OT!$B$2:$B$592,A96)&gt;0,1,0)</f>
        <v>0</v>
      </c>
      <c r="AL96">
        <f>IF(AND(OR(Dashboard!$D$5="Todos",AD96=Dashboard!$D$5),OR(Dashboard!$F$5="Todos",D96=Dashboard!$F$5),OR(Dashboard!$H$5="Todos",I96=Dashboard!$H$5)),1,0)</f>
        <v>1</v>
      </c>
      <c r="AM96">
        <f>IF(AND(OR(Control_Mandante!$C$4="Todos", AD96=Control_Mandante!$C$4), OR(Control_Mandante!$F$4="Todos", B96=Control_Mandante!$F$4), OR(Control_Mandante!$I$4="Todos", W96=Control_Mandante!$I$4), OR(Control_Mandante!$L$4="Todos", H96=Control_Mandante!$L$4)), 1, 0)</f>
        <v>1</v>
      </c>
      <c r="AN96" t="str">
        <f>IF(AH96=1, COUNTIF(AH$2:AH96, 1), "")</f>
        <v/>
      </c>
      <c r="AO96" t="str">
        <f>IF(AJ96=1, COUNTIF(AJ$2:AJ96, 1), "")</f>
        <v/>
      </c>
      <c r="AP96" t="str">
        <f>IF(AK96=1, COUNTIF(AK$2:AK96, 1), "")</f>
        <v/>
      </c>
    </row>
    <row r="97" spans="1:42" x14ac:dyDescent="0.25">
      <c r="A97" t="s">
        <v>749</v>
      </c>
      <c r="B97" t="s">
        <v>168</v>
      </c>
      <c r="C97" t="s">
        <v>750</v>
      </c>
      <c r="D97" t="s">
        <v>276</v>
      </c>
      <c r="E97" s="43">
        <v>46240</v>
      </c>
      <c r="F97" s="43">
        <v>46243</v>
      </c>
      <c r="G97" s="43">
        <v>46243</v>
      </c>
      <c r="H97" t="s">
        <v>215</v>
      </c>
      <c r="I97" t="s">
        <v>290</v>
      </c>
      <c r="J97" t="s">
        <v>751</v>
      </c>
      <c r="K97" s="43">
        <v>46240</v>
      </c>
      <c r="L97">
        <f t="shared" si="33"/>
        <v>276260</v>
      </c>
      <c r="M97" t="s">
        <v>279</v>
      </c>
      <c r="N97" t="s">
        <v>752</v>
      </c>
      <c r="O97" s="43">
        <v>46241</v>
      </c>
      <c r="P97">
        <f t="shared" si="46"/>
        <v>276260</v>
      </c>
      <c r="Q97" t="s">
        <v>281</v>
      </c>
      <c r="R97" t="s">
        <v>753</v>
      </c>
      <c r="S97" s="43">
        <v>46244</v>
      </c>
      <c r="T97">
        <f t="shared" si="47"/>
        <v>276260</v>
      </c>
      <c r="U97">
        <v>0</v>
      </c>
      <c r="V97">
        <f t="shared" si="35"/>
        <v>276260</v>
      </c>
      <c r="W97" t="str">
        <f t="shared" si="36"/>
        <v>CUADRADO (3-WAY OK)</v>
      </c>
      <c r="X97">
        <f>SUMIFS(Detalle_OT!$I$2:$I$592,Detalle_OT!$B$2:$B$592,A97)</f>
        <v>276260</v>
      </c>
      <c r="Y97">
        <f>SUMIFS(Detalle_OT!$H$2:$H$592,Detalle_OT!$B$2:$B$592,A97,Detalle_OT!$C$2:$C$592,"Repuesto")</f>
        <v>114000</v>
      </c>
      <c r="Z97">
        <f>SUMIFS(Detalle_OT!$H$2:$H$592,Detalle_OT!$B$2:$B$592,A97,Detalle_OT!$C$2:$C$592,"Mano de Obra")</f>
        <v>82800</v>
      </c>
      <c r="AA97">
        <f t="shared" si="37"/>
        <v>79460</v>
      </c>
      <c r="AB97">
        <f t="shared" si="38"/>
        <v>0.28762759719105191</v>
      </c>
      <c r="AC97" t="str">
        <f t="shared" si="39"/>
        <v>Margen No Negativo Confirmado</v>
      </c>
      <c r="AD97" t="str">
        <f t="shared" si="40"/>
        <v>2026-08</v>
      </c>
      <c r="AE97" t="str">
        <f t="shared" si="41"/>
        <v>Semana 32</v>
      </c>
      <c r="AF97">
        <f t="shared" si="42"/>
        <v>3</v>
      </c>
      <c r="AG97">
        <f t="shared" si="43"/>
        <v>1</v>
      </c>
      <c r="AH97">
        <f>IF(AND(G97="",OR(I97="En Curso",I97="Reprogramada"),F97&lt;Dashboard!$B$5),1,0)</f>
        <v>0</v>
      </c>
      <c r="AI97">
        <f t="shared" si="44"/>
        <v>0</v>
      </c>
      <c r="AJ97">
        <f t="shared" si="45"/>
        <v>0</v>
      </c>
      <c r="AK97">
        <f>IF(SUMIFS(Detalle_OT!$J$2:$J$592,Detalle_OT!$B$2:$B$592,A97)&gt;0,1,0)</f>
        <v>0</v>
      </c>
      <c r="AL97">
        <f>IF(AND(OR(Dashboard!$D$5="Todos",AD97=Dashboard!$D$5),OR(Dashboard!$F$5="Todos",D97=Dashboard!$F$5),OR(Dashboard!$H$5="Todos",I97=Dashboard!$H$5)),1,0)</f>
        <v>1</v>
      </c>
      <c r="AM97">
        <f>IF(AND(OR(Control_Mandante!$C$4="Todos", AD97=Control_Mandante!$C$4), OR(Control_Mandante!$F$4="Todos", B97=Control_Mandante!$F$4), OR(Control_Mandante!$I$4="Todos", W97=Control_Mandante!$I$4), OR(Control_Mandante!$L$4="Todos", H97=Control_Mandante!$L$4)), 1, 0)</f>
        <v>1</v>
      </c>
      <c r="AN97" t="str">
        <f>IF(AH97=1, COUNTIF(AH$2:AH97, 1), "")</f>
        <v/>
      </c>
      <c r="AO97" t="str">
        <f>IF(AJ97=1, COUNTIF(AJ$2:AJ97, 1), "")</f>
        <v/>
      </c>
      <c r="AP97" t="str">
        <f>IF(AK97=1, COUNTIF(AK$2:AK97, 1), "")</f>
        <v/>
      </c>
    </row>
    <row r="98" spans="1:42" x14ac:dyDescent="0.25">
      <c r="A98" t="s">
        <v>754</v>
      </c>
      <c r="B98" t="s">
        <v>183</v>
      </c>
      <c r="C98" t="s">
        <v>755</v>
      </c>
      <c r="D98" t="s">
        <v>301</v>
      </c>
      <c r="E98" s="43">
        <v>46240</v>
      </c>
      <c r="F98" s="43">
        <v>46245</v>
      </c>
      <c r="G98" s="43">
        <v>46254</v>
      </c>
      <c r="H98" t="s">
        <v>218</v>
      </c>
      <c r="I98" t="s">
        <v>277</v>
      </c>
      <c r="J98" t="s">
        <v>756</v>
      </c>
      <c r="K98" s="43">
        <v>46240</v>
      </c>
      <c r="L98">
        <f t="shared" ref="L98:L129" si="48">X98</f>
        <v>249440</v>
      </c>
      <c r="M98" t="s">
        <v>279</v>
      </c>
      <c r="N98" t="s">
        <v>757</v>
      </c>
      <c r="O98" s="43">
        <v>46241</v>
      </c>
      <c r="P98">
        <f t="shared" si="46"/>
        <v>249440</v>
      </c>
      <c r="Q98" t="s">
        <v>281</v>
      </c>
      <c r="R98" t="s">
        <v>758</v>
      </c>
      <c r="S98" s="43">
        <v>46256</v>
      </c>
      <c r="T98">
        <f t="shared" si="47"/>
        <v>249440</v>
      </c>
      <c r="U98">
        <f>T98</f>
        <v>249440</v>
      </c>
      <c r="V98">
        <f t="shared" ref="V98:V129" si="49">IF(R98&lt;&gt;"", T98-U98, 0)</f>
        <v>0</v>
      </c>
      <c r="W98" t="str">
        <f t="shared" ref="W98:W129" si="50">IF(OR(M98="Pendiente", M98="Rechazado"), "Presupuesto No Aprobado", IF(N98="", "Falta OC Mandante", IF(R98="", "OC Recibida - Pendiente Factura", IF(AND(L98=P98, P98=T98), "CUADRADO (3-WAY OK)", "DESCUADRE DE MONTOS"))))</f>
        <v>CUADRADO (3-WAY OK)</v>
      </c>
      <c r="X98">
        <f>SUMIFS(Detalle_OT!$I$2:$I$592,Detalle_OT!$B$2:$B$592,A98)</f>
        <v>249440</v>
      </c>
      <c r="Y98">
        <f>SUMIFS(Detalle_OT!$H$2:$H$592,Detalle_OT!$B$2:$B$592,A98,Detalle_OT!$C$2:$C$592,"Repuesto")</f>
        <v>15300</v>
      </c>
      <c r="Z98">
        <f>SUMIFS(Detalle_OT!$H$2:$H$592,Detalle_OT!$B$2:$B$592,A98,Detalle_OT!$C$2:$C$592,"Mano de Obra")</f>
        <v>113000</v>
      </c>
      <c r="AA98">
        <f t="shared" ref="AA98:AA129" si="51">IF(AK98=1, "", X98-Y98-Z98)</f>
        <v>121140</v>
      </c>
      <c r="AB98">
        <f t="shared" ref="AB98:AB129" si="52">IF(OR(AK98=1, X98=0, ISBLANK(X98)), "", AA98/X98)</f>
        <v>0.4856478511866581</v>
      </c>
      <c r="AC98" t="str">
        <f t="shared" ref="AC98:AC129" si="53">IF(AK98=1, "Pendiente de Validación", IF(AA98&lt;0, "Margen Negativo Confirmado", "Margen No Negativo Confirmado"))</f>
        <v>Margen No Negativo Confirmado</v>
      </c>
      <c r="AD98" t="str">
        <f t="shared" ref="AD98:AD129" si="54">YEAR(E98)&amp;"-"&amp;TEXT(MONTH(E98),"00")</f>
        <v>2026-08</v>
      </c>
      <c r="AE98" t="str">
        <f t="shared" ref="AE98:AE129" si="55">"Semana "&amp;WEEKNUM(E98)</f>
        <v>Semana 32</v>
      </c>
      <c r="AF98">
        <f t="shared" ref="AF98:AF129" si="56">IF(G98&lt;&gt;"", G98-E98, "")</f>
        <v>14</v>
      </c>
      <c r="AG98">
        <f t="shared" ref="AG98:AG129" si="57">IF(G98="","",IF(G98&lt;=F98,1,0))</f>
        <v>0</v>
      </c>
      <c r="AH98">
        <f>IF(AND(G98="",OR(I98="En Curso",I98="Reprogramada"),F98&lt;Dashboard!$B$5),1,0)</f>
        <v>0</v>
      </c>
      <c r="AI98">
        <f t="shared" ref="AI98:AI129" si="58">IF(AND(M98="Aprobado", N98=""), 1, 0)</f>
        <v>0</v>
      </c>
      <c r="AJ98">
        <f t="shared" ref="AJ98:AJ129" si="59">IF(AND(OR(I98="Terminada",I98="Entregada"), R98=""), 1, 0)</f>
        <v>0</v>
      </c>
      <c r="AK98">
        <f>IF(SUMIFS(Detalle_OT!$J$2:$J$592,Detalle_OT!$B$2:$B$592,A98)&gt;0,1,0)</f>
        <v>0</v>
      </c>
      <c r="AL98">
        <f>IF(AND(OR(Dashboard!$D$5="Todos",AD98=Dashboard!$D$5),OR(Dashboard!$F$5="Todos",D98=Dashboard!$F$5),OR(Dashboard!$H$5="Todos",I98=Dashboard!$H$5)),1,0)</f>
        <v>1</v>
      </c>
      <c r="AM98">
        <f>IF(AND(OR(Control_Mandante!$C$4="Todos", AD98=Control_Mandante!$C$4), OR(Control_Mandante!$F$4="Todos", B98=Control_Mandante!$F$4), OR(Control_Mandante!$I$4="Todos", W98=Control_Mandante!$I$4), OR(Control_Mandante!$L$4="Todos", H98=Control_Mandante!$L$4)), 1, 0)</f>
        <v>1</v>
      </c>
      <c r="AN98" t="str">
        <f>IF(AH98=1, COUNTIF(AH$2:AH98, 1), "")</f>
        <v/>
      </c>
      <c r="AO98" t="str">
        <f>IF(AJ98=1, COUNTIF(AJ$2:AJ98, 1), "")</f>
        <v/>
      </c>
      <c r="AP98" t="str">
        <f>IF(AK98=1, COUNTIF(AK$2:AK98, 1), "")</f>
        <v/>
      </c>
    </row>
    <row r="99" spans="1:42" x14ac:dyDescent="0.25">
      <c r="A99" t="s">
        <v>759</v>
      </c>
      <c r="B99" t="s">
        <v>190</v>
      </c>
      <c r="C99" t="s">
        <v>760</v>
      </c>
      <c r="D99" t="s">
        <v>301</v>
      </c>
      <c r="E99" s="43">
        <v>46241</v>
      </c>
      <c r="F99" s="43">
        <v>46246</v>
      </c>
      <c r="H99" t="s">
        <v>220</v>
      </c>
      <c r="I99" t="s">
        <v>592</v>
      </c>
      <c r="J99" t="s">
        <v>761</v>
      </c>
      <c r="K99" s="43">
        <v>46241</v>
      </c>
      <c r="L99">
        <f t="shared" si="48"/>
        <v>248600</v>
      </c>
      <c r="M99" t="s">
        <v>279</v>
      </c>
      <c r="N99" t="s">
        <v>762</v>
      </c>
      <c r="O99" s="43">
        <v>46242</v>
      </c>
      <c r="P99">
        <f t="shared" si="46"/>
        <v>248600</v>
      </c>
      <c r="Q99" t="s">
        <v>281</v>
      </c>
      <c r="T99">
        <v>0</v>
      </c>
      <c r="U99">
        <v>0</v>
      </c>
      <c r="V99">
        <f t="shared" si="49"/>
        <v>0</v>
      </c>
      <c r="W99" t="str">
        <f t="shared" si="50"/>
        <v>OC Recibida - Pendiente Factura</v>
      </c>
      <c r="X99">
        <f>SUMIFS(Detalle_OT!$I$2:$I$592,Detalle_OT!$B$2:$B$592,A99)</f>
        <v>248600</v>
      </c>
      <c r="Y99">
        <f>SUMIFS(Detalle_OT!$H$2:$H$592,Detalle_OT!$B$2:$B$592,A99,Detalle_OT!$C$2:$C$592,"Repuesto")</f>
        <v>47490</v>
      </c>
      <c r="Z99">
        <f>SUMIFS(Detalle_OT!$H$2:$H$592,Detalle_OT!$B$2:$B$592,A99,Detalle_OT!$C$2:$C$592,"Mano de Obra")</f>
        <v>233600</v>
      </c>
      <c r="AA99">
        <f t="shared" si="51"/>
        <v>-32490</v>
      </c>
      <c r="AB99">
        <f t="shared" si="52"/>
        <v>-0.13069187449718422</v>
      </c>
      <c r="AC99" t="str">
        <f t="shared" si="53"/>
        <v>Margen Negativo Confirmado</v>
      </c>
      <c r="AD99" t="str">
        <f t="shared" si="54"/>
        <v>2026-08</v>
      </c>
      <c r="AE99" t="str">
        <f t="shared" si="55"/>
        <v>Semana 32</v>
      </c>
      <c r="AF99" t="str">
        <f t="shared" si="56"/>
        <v/>
      </c>
      <c r="AG99" t="str">
        <f t="shared" si="57"/>
        <v/>
      </c>
      <c r="AH99">
        <f>IF(AND(G99="",OR(I99="En Curso",I99="Reprogramada"),F99&lt;Dashboard!$B$5),1,0)</f>
        <v>1</v>
      </c>
      <c r="AI99">
        <f t="shared" si="58"/>
        <v>0</v>
      </c>
      <c r="AJ99">
        <f t="shared" si="59"/>
        <v>0</v>
      </c>
      <c r="AK99">
        <f>IF(SUMIFS(Detalle_OT!$J$2:$J$592,Detalle_OT!$B$2:$B$592,A99)&gt;0,1,0)</f>
        <v>0</v>
      </c>
      <c r="AL99">
        <f>IF(AND(OR(Dashboard!$D$5="Todos",AD99=Dashboard!$D$5),OR(Dashboard!$F$5="Todos",D99=Dashboard!$F$5),OR(Dashboard!$H$5="Todos",I99=Dashboard!$H$5)),1,0)</f>
        <v>1</v>
      </c>
      <c r="AM99">
        <f>IF(AND(OR(Control_Mandante!$C$4="Todos", AD99=Control_Mandante!$C$4), OR(Control_Mandante!$F$4="Todos", B99=Control_Mandante!$F$4), OR(Control_Mandante!$I$4="Todos", W99=Control_Mandante!$I$4), OR(Control_Mandante!$L$4="Todos", H99=Control_Mandante!$L$4)), 1, 0)</f>
        <v>1</v>
      </c>
      <c r="AN99">
        <f>IF(AH99=1, COUNTIF(AH$2:AH99, 1), "")</f>
        <v>4</v>
      </c>
      <c r="AO99" t="str">
        <f>IF(AJ99=1, COUNTIF(AJ$2:AJ99, 1), "")</f>
        <v/>
      </c>
      <c r="AP99" t="str">
        <f>IF(AK99=1, COUNTIF(AK$2:AK99, 1), "")</f>
        <v/>
      </c>
    </row>
    <row r="100" spans="1:42" x14ac:dyDescent="0.25">
      <c r="A100" t="s">
        <v>763</v>
      </c>
      <c r="B100" t="s">
        <v>171</v>
      </c>
      <c r="C100" t="s">
        <v>764</v>
      </c>
      <c r="D100" t="s">
        <v>295</v>
      </c>
      <c r="E100" s="43">
        <v>46242</v>
      </c>
      <c r="F100" s="43">
        <v>46254</v>
      </c>
      <c r="G100" s="43">
        <v>46261</v>
      </c>
      <c r="H100" t="s">
        <v>227</v>
      </c>
      <c r="I100" t="s">
        <v>277</v>
      </c>
      <c r="J100" t="s">
        <v>765</v>
      </c>
      <c r="K100" s="43">
        <v>46242</v>
      </c>
      <c r="L100">
        <f t="shared" si="48"/>
        <v>915590</v>
      </c>
      <c r="M100" t="s">
        <v>279</v>
      </c>
      <c r="N100" t="s">
        <v>766</v>
      </c>
      <c r="O100" s="43">
        <v>46243</v>
      </c>
      <c r="P100">
        <f t="shared" si="46"/>
        <v>915590</v>
      </c>
      <c r="Q100" t="s">
        <v>281</v>
      </c>
      <c r="R100" t="s">
        <v>767</v>
      </c>
      <c r="S100" s="43">
        <v>46263</v>
      </c>
      <c r="T100">
        <f t="shared" ref="T100:T107" si="60">X100</f>
        <v>915590</v>
      </c>
      <c r="U100">
        <f>T100*0.5</f>
        <v>457795</v>
      </c>
      <c r="V100">
        <f t="shared" si="49"/>
        <v>457795</v>
      </c>
      <c r="W100" t="str">
        <f t="shared" si="50"/>
        <v>CUADRADO (3-WAY OK)</v>
      </c>
      <c r="X100">
        <f>SUMIFS(Detalle_OT!$I$2:$I$592,Detalle_OT!$B$2:$B$592,A100)</f>
        <v>915590</v>
      </c>
      <c r="Y100">
        <f>SUMIFS(Detalle_OT!$H$2:$H$592,Detalle_OT!$B$2:$B$592,A100,Detalle_OT!$C$2:$C$592,"Repuesto")</f>
        <v>420080</v>
      </c>
      <c r="Z100">
        <f>SUMIFS(Detalle_OT!$H$2:$H$592,Detalle_OT!$B$2:$B$592,A100,Detalle_OT!$C$2:$C$592,"Mano de Obra")</f>
        <v>210000</v>
      </c>
      <c r="AA100">
        <f t="shared" si="51"/>
        <v>285510</v>
      </c>
      <c r="AB100">
        <f t="shared" si="52"/>
        <v>0.31183171506897189</v>
      </c>
      <c r="AC100" t="str">
        <f t="shared" si="53"/>
        <v>Margen No Negativo Confirmado</v>
      </c>
      <c r="AD100" t="str">
        <f t="shared" si="54"/>
        <v>2026-08</v>
      </c>
      <c r="AE100" t="str">
        <f t="shared" si="55"/>
        <v>Semana 32</v>
      </c>
      <c r="AF100">
        <f t="shared" si="56"/>
        <v>19</v>
      </c>
      <c r="AG100">
        <f t="shared" si="57"/>
        <v>0</v>
      </c>
      <c r="AH100">
        <f>IF(AND(G100="",OR(I100="En Curso",I100="Reprogramada"),F100&lt;Dashboard!$B$5),1,0)</f>
        <v>0</v>
      </c>
      <c r="AI100">
        <f t="shared" si="58"/>
        <v>0</v>
      </c>
      <c r="AJ100">
        <f t="shared" si="59"/>
        <v>0</v>
      </c>
      <c r="AK100">
        <f>IF(SUMIFS(Detalle_OT!$J$2:$J$592,Detalle_OT!$B$2:$B$592,A100)&gt;0,1,0)</f>
        <v>0</v>
      </c>
      <c r="AL100">
        <f>IF(AND(OR(Dashboard!$D$5="Todos",AD100=Dashboard!$D$5),OR(Dashboard!$F$5="Todos",D100=Dashboard!$F$5),OR(Dashboard!$H$5="Todos",I100=Dashboard!$H$5)),1,0)</f>
        <v>1</v>
      </c>
      <c r="AM100">
        <f>IF(AND(OR(Control_Mandante!$C$4="Todos", AD100=Control_Mandante!$C$4), OR(Control_Mandante!$F$4="Todos", B100=Control_Mandante!$F$4), OR(Control_Mandante!$I$4="Todos", W100=Control_Mandante!$I$4), OR(Control_Mandante!$L$4="Todos", H100=Control_Mandante!$L$4)), 1, 0)</f>
        <v>1</v>
      </c>
      <c r="AN100" t="str">
        <f>IF(AH100=1, COUNTIF(AH$2:AH100, 1), "")</f>
        <v/>
      </c>
      <c r="AO100" t="str">
        <f>IF(AJ100=1, COUNTIF(AJ$2:AJ100, 1), "")</f>
        <v/>
      </c>
      <c r="AP100" t="str">
        <f>IF(AK100=1, COUNTIF(AK$2:AK100, 1), "")</f>
        <v/>
      </c>
    </row>
    <row r="101" spans="1:42" x14ac:dyDescent="0.25">
      <c r="A101" t="s">
        <v>768</v>
      </c>
      <c r="B101" t="s">
        <v>193</v>
      </c>
      <c r="C101" t="s">
        <v>769</v>
      </c>
      <c r="D101" t="s">
        <v>301</v>
      </c>
      <c r="E101" s="43">
        <v>46242</v>
      </c>
      <c r="F101" s="43">
        <v>46250</v>
      </c>
      <c r="G101" s="43">
        <v>46248</v>
      </c>
      <c r="H101" t="s">
        <v>218</v>
      </c>
      <c r="I101" t="s">
        <v>277</v>
      </c>
      <c r="J101" t="s">
        <v>770</v>
      </c>
      <c r="K101" s="43">
        <v>46242</v>
      </c>
      <c r="L101">
        <f t="shared" si="48"/>
        <v>800220</v>
      </c>
      <c r="M101" t="s">
        <v>279</v>
      </c>
      <c r="N101" t="s">
        <v>771</v>
      </c>
      <c r="O101" s="43">
        <v>46243</v>
      </c>
      <c r="P101">
        <f t="shared" si="46"/>
        <v>800220</v>
      </c>
      <c r="Q101" t="s">
        <v>281</v>
      </c>
      <c r="R101" t="s">
        <v>772</v>
      </c>
      <c r="S101" s="43">
        <v>46250</v>
      </c>
      <c r="T101">
        <f t="shared" si="60"/>
        <v>800220</v>
      </c>
      <c r="U101">
        <f>T101</f>
        <v>800220</v>
      </c>
      <c r="V101">
        <f t="shared" si="49"/>
        <v>0</v>
      </c>
      <c r="W101" t="str">
        <f t="shared" si="50"/>
        <v>CUADRADO (3-WAY OK)</v>
      </c>
      <c r="X101">
        <f>SUMIFS(Detalle_OT!$I$2:$I$592,Detalle_OT!$B$2:$B$592,A101)</f>
        <v>800220</v>
      </c>
      <c r="Y101">
        <f>SUMIFS(Detalle_OT!$H$2:$H$592,Detalle_OT!$B$2:$B$592,A101,Detalle_OT!$C$2:$C$592,"Repuesto")</f>
        <v>421670</v>
      </c>
      <c r="Z101">
        <f>SUMIFS(Detalle_OT!$H$2:$H$592,Detalle_OT!$B$2:$B$592,A101,Detalle_OT!$C$2:$C$592,"Mano de Obra")</f>
        <v>150700</v>
      </c>
      <c r="AA101">
        <f t="shared" si="51"/>
        <v>227850</v>
      </c>
      <c r="AB101">
        <f t="shared" si="52"/>
        <v>0.28473419809552375</v>
      </c>
      <c r="AC101" t="str">
        <f t="shared" si="53"/>
        <v>Margen No Negativo Confirmado</v>
      </c>
      <c r="AD101" t="str">
        <f t="shared" si="54"/>
        <v>2026-08</v>
      </c>
      <c r="AE101" t="str">
        <f t="shared" si="55"/>
        <v>Semana 32</v>
      </c>
      <c r="AF101">
        <f t="shared" si="56"/>
        <v>6</v>
      </c>
      <c r="AG101">
        <f t="shared" si="57"/>
        <v>1</v>
      </c>
      <c r="AH101">
        <f>IF(AND(G101="",OR(I101="En Curso",I101="Reprogramada"),F101&lt;Dashboard!$B$5),1,0)</f>
        <v>0</v>
      </c>
      <c r="AI101">
        <f t="shared" si="58"/>
        <v>0</v>
      </c>
      <c r="AJ101">
        <f t="shared" si="59"/>
        <v>0</v>
      </c>
      <c r="AK101">
        <f>IF(SUMIFS(Detalle_OT!$J$2:$J$592,Detalle_OT!$B$2:$B$592,A101)&gt;0,1,0)</f>
        <v>0</v>
      </c>
      <c r="AL101">
        <f>IF(AND(OR(Dashboard!$D$5="Todos",AD101=Dashboard!$D$5),OR(Dashboard!$F$5="Todos",D101=Dashboard!$F$5),OR(Dashboard!$H$5="Todos",I101=Dashboard!$H$5)),1,0)</f>
        <v>1</v>
      </c>
      <c r="AM101">
        <f>IF(AND(OR(Control_Mandante!$C$4="Todos", AD101=Control_Mandante!$C$4), OR(Control_Mandante!$F$4="Todos", B101=Control_Mandante!$F$4), OR(Control_Mandante!$I$4="Todos", W101=Control_Mandante!$I$4), OR(Control_Mandante!$L$4="Todos", H101=Control_Mandante!$L$4)), 1, 0)</f>
        <v>1</v>
      </c>
      <c r="AN101" t="str">
        <f>IF(AH101=1, COUNTIF(AH$2:AH101, 1), "")</f>
        <v/>
      </c>
      <c r="AO101" t="str">
        <f>IF(AJ101=1, COUNTIF(AJ$2:AJ101, 1), "")</f>
        <v/>
      </c>
      <c r="AP101" t="str">
        <f>IF(AK101=1, COUNTIF(AK$2:AK101, 1), "")</f>
        <v/>
      </c>
    </row>
    <row r="102" spans="1:42" x14ac:dyDescent="0.25">
      <c r="A102" t="s">
        <v>773</v>
      </c>
      <c r="B102" t="s">
        <v>203</v>
      </c>
      <c r="C102" t="s">
        <v>774</v>
      </c>
      <c r="D102" t="s">
        <v>301</v>
      </c>
      <c r="E102" s="43">
        <v>46242</v>
      </c>
      <c r="F102" s="43">
        <v>46246</v>
      </c>
      <c r="G102" s="43">
        <v>46250</v>
      </c>
      <c r="H102" t="s">
        <v>215</v>
      </c>
      <c r="I102" t="s">
        <v>277</v>
      </c>
      <c r="J102" t="s">
        <v>775</v>
      </c>
      <c r="K102" s="43">
        <v>46242</v>
      </c>
      <c r="L102">
        <f t="shared" si="48"/>
        <v>719600</v>
      </c>
      <c r="M102" t="s">
        <v>279</v>
      </c>
      <c r="N102" t="s">
        <v>776</v>
      </c>
      <c r="O102" s="43">
        <v>46243</v>
      </c>
      <c r="P102">
        <f t="shared" si="46"/>
        <v>719600</v>
      </c>
      <c r="Q102" t="s">
        <v>281</v>
      </c>
      <c r="R102" t="s">
        <v>777</v>
      </c>
      <c r="S102" s="43">
        <v>46252</v>
      </c>
      <c r="T102">
        <f t="shared" si="60"/>
        <v>719600</v>
      </c>
      <c r="U102">
        <f>T102</f>
        <v>719600</v>
      </c>
      <c r="V102">
        <f t="shared" si="49"/>
        <v>0</v>
      </c>
      <c r="W102" t="str">
        <f t="shared" si="50"/>
        <v>CUADRADO (3-WAY OK)</v>
      </c>
      <c r="X102">
        <f>SUMIFS(Detalle_OT!$I$2:$I$592,Detalle_OT!$B$2:$B$592,A102)</f>
        <v>719600</v>
      </c>
      <c r="Y102">
        <f>SUMIFS(Detalle_OT!$H$2:$H$592,Detalle_OT!$B$2:$B$592,A102,Detalle_OT!$C$2:$C$592,"Repuesto")</f>
        <v>243640</v>
      </c>
      <c r="Z102">
        <f>SUMIFS(Detalle_OT!$H$2:$H$592,Detalle_OT!$B$2:$B$592,A102,Detalle_OT!$C$2:$C$592,"Mano de Obra")</f>
        <v>109600</v>
      </c>
      <c r="AA102" t="str">
        <f t="shared" si="51"/>
        <v/>
      </c>
      <c r="AB102" t="str">
        <f t="shared" si="52"/>
        <v/>
      </c>
      <c r="AC102" t="str">
        <f t="shared" si="53"/>
        <v>Pendiente de Validación</v>
      </c>
      <c r="AD102" t="str">
        <f t="shared" si="54"/>
        <v>2026-08</v>
      </c>
      <c r="AE102" t="str">
        <f t="shared" si="55"/>
        <v>Semana 32</v>
      </c>
      <c r="AF102">
        <f t="shared" si="56"/>
        <v>8</v>
      </c>
      <c r="AG102">
        <f t="shared" si="57"/>
        <v>0</v>
      </c>
      <c r="AH102">
        <f>IF(AND(G102="",OR(I102="En Curso",I102="Reprogramada"),F102&lt;Dashboard!$B$5),1,0)</f>
        <v>0</v>
      </c>
      <c r="AI102">
        <f t="shared" si="58"/>
        <v>0</v>
      </c>
      <c r="AJ102">
        <f t="shared" si="59"/>
        <v>0</v>
      </c>
      <c r="AK102">
        <f>IF(SUMIFS(Detalle_OT!$J$2:$J$592,Detalle_OT!$B$2:$B$592,A102)&gt;0,1,0)</f>
        <v>1</v>
      </c>
      <c r="AL102">
        <f>IF(AND(OR(Dashboard!$D$5="Todos",AD102=Dashboard!$D$5),OR(Dashboard!$F$5="Todos",D102=Dashboard!$F$5),OR(Dashboard!$H$5="Todos",I102=Dashboard!$H$5)),1,0)</f>
        <v>1</v>
      </c>
      <c r="AM102">
        <f>IF(AND(OR(Control_Mandante!$C$4="Todos", AD102=Control_Mandante!$C$4), OR(Control_Mandante!$F$4="Todos", B102=Control_Mandante!$F$4), OR(Control_Mandante!$I$4="Todos", W102=Control_Mandante!$I$4), OR(Control_Mandante!$L$4="Todos", H102=Control_Mandante!$L$4)), 1, 0)</f>
        <v>1</v>
      </c>
      <c r="AN102" t="str">
        <f>IF(AH102=1, COUNTIF(AH$2:AH102, 1), "")</f>
        <v/>
      </c>
      <c r="AO102" t="str">
        <f>IF(AJ102=1, COUNTIF(AJ$2:AJ102, 1), "")</f>
        <v/>
      </c>
      <c r="AP102">
        <f>IF(AK102=1, COUNTIF(AK$2:AK102, 1), "")</f>
        <v>5</v>
      </c>
    </row>
    <row r="103" spans="1:42" x14ac:dyDescent="0.25">
      <c r="A103" t="s">
        <v>778</v>
      </c>
      <c r="B103" t="s">
        <v>155</v>
      </c>
      <c r="C103" t="s">
        <v>779</v>
      </c>
      <c r="D103" t="s">
        <v>295</v>
      </c>
      <c r="E103" s="43">
        <v>46243</v>
      </c>
      <c r="F103" s="43">
        <v>46250</v>
      </c>
      <c r="G103" s="43">
        <v>46250</v>
      </c>
      <c r="H103" t="s">
        <v>222</v>
      </c>
      <c r="I103" t="s">
        <v>277</v>
      </c>
      <c r="J103" t="s">
        <v>780</v>
      </c>
      <c r="K103" s="43">
        <v>46243</v>
      </c>
      <c r="L103">
        <f t="shared" si="48"/>
        <v>2078700</v>
      </c>
      <c r="M103" t="s">
        <v>279</v>
      </c>
      <c r="N103" t="s">
        <v>781</v>
      </c>
      <c r="O103" s="43">
        <v>46244</v>
      </c>
      <c r="P103">
        <f t="shared" si="46"/>
        <v>2078700</v>
      </c>
      <c r="Q103" t="s">
        <v>281</v>
      </c>
      <c r="R103" t="s">
        <v>782</v>
      </c>
      <c r="S103" s="43">
        <v>46252</v>
      </c>
      <c r="T103">
        <f t="shared" si="60"/>
        <v>2078700</v>
      </c>
      <c r="U103">
        <f>T103*0.5</f>
        <v>1039350</v>
      </c>
      <c r="V103">
        <f t="shared" si="49"/>
        <v>1039350</v>
      </c>
      <c r="W103" t="str">
        <f t="shared" si="50"/>
        <v>CUADRADO (3-WAY OK)</v>
      </c>
      <c r="X103">
        <f>SUMIFS(Detalle_OT!$I$2:$I$592,Detalle_OT!$B$2:$B$592,A103)</f>
        <v>2078700</v>
      </c>
      <c r="Y103">
        <f>SUMIFS(Detalle_OT!$H$2:$H$592,Detalle_OT!$B$2:$B$592,A103,Detalle_OT!$C$2:$C$592,"Repuesto")</f>
        <v>1117480</v>
      </c>
      <c r="Z103">
        <f>SUMIFS(Detalle_OT!$H$2:$H$592,Detalle_OT!$B$2:$B$592,A103,Detalle_OT!$C$2:$C$592,"Mano de Obra")</f>
        <v>340400</v>
      </c>
      <c r="AA103">
        <f t="shared" si="51"/>
        <v>620820</v>
      </c>
      <c r="AB103">
        <f t="shared" si="52"/>
        <v>0.29865781498051669</v>
      </c>
      <c r="AC103" t="str">
        <f t="shared" si="53"/>
        <v>Margen No Negativo Confirmado</v>
      </c>
      <c r="AD103" t="str">
        <f t="shared" si="54"/>
        <v>2026-08</v>
      </c>
      <c r="AE103" t="str">
        <f t="shared" si="55"/>
        <v>Semana 33</v>
      </c>
      <c r="AF103">
        <f t="shared" si="56"/>
        <v>7</v>
      </c>
      <c r="AG103">
        <f t="shared" si="57"/>
        <v>1</v>
      </c>
      <c r="AH103">
        <f>IF(AND(G103="",OR(I103="En Curso",I103="Reprogramada"),F103&lt;Dashboard!$B$5),1,0)</f>
        <v>0</v>
      </c>
      <c r="AI103">
        <f t="shared" si="58"/>
        <v>0</v>
      </c>
      <c r="AJ103">
        <f t="shared" si="59"/>
        <v>0</v>
      </c>
      <c r="AK103">
        <f>IF(SUMIFS(Detalle_OT!$J$2:$J$592,Detalle_OT!$B$2:$B$592,A103)&gt;0,1,0)</f>
        <v>0</v>
      </c>
      <c r="AL103">
        <f>IF(AND(OR(Dashboard!$D$5="Todos",AD103=Dashboard!$D$5),OR(Dashboard!$F$5="Todos",D103=Dashboard!$F$5),OR(Dashboard!$H$5="Todos",I103=Dashboard!$H$5)),1,0)</f>
        <v>1</v>
      </c>
      <c r="AM103">
        <f>IF(AND(OR(Control_Mandante!$C$4="Todos", AD103=Control_Mandante!$C$4), OR(Control_Mandante!$F$4="Todos", B103=Control_Mandante!$F$4), OR(Control_Mandante!$I$4="Todos", W103=Control_Mandante!$I$4), OR(Control_Mandante!$L$4="Todos", H103=Control_Mandante!$L$4)), 1, 0)</f>
        <v>1</v>
      </c>
      <c r="AN103" t="str">
        <f>IF(AH103=1, COUNTIF(AH$2:AH103, 1), "")</f>
        <v/>
      </c>
      <c r="AO103" t="str">
        <f>IF(AJ103=1, COUNTIF(AJ$2:AJ103, 1), "")</f>
        <v/>
      </c>
      <c r="AP103" t="str">
        <f>IF(AK103=1, COUNTIF(AK$2:AK103, 1), "")</f>
        <v/>
      </c>
    </row>
    <row r="104" spans="1:42" x14ac:dyDescent="0.25">
      <c r="A104" t="s">
        <v>783</v>
      </c>
      <c r="B104" t="s">
        <v>168</v>
      </c>
      <c r="C104" t="s">
        <v>784</v>
      </c>
      <c r="D104" t="s">
        <v>276</v>
      </c>
      <c r="E104" s="43">
        <v>46245</v>
      </c>
      <c r="F104" s="43">
        <v>46247</v>
      </c>
      <c r="G104" s="43">
        <v>46245</v>
      </c>
      <c r="H104" t="s">
        <v>218</v>
      </c>
      <c r="I104" t="s">
        <v>277</v>
      </c>
      <c r="J104" t="s">
        <v>785</v>
      </c>
      <c r="K104" s="43">
        <v>46245</v>
      </c>
      <c r="L104">
        <f t="shared" si="48"/>
        <v>428900</v>
      </c>
      <c r="M104" t="s">
        <v>279</v>
      </c>
      <c r="N104" t="s">
        <v>786</v>
      </c>
      <c r="O104" s="43">
        <v>46246</v>
      </c>
      <c r="P104">
        <f t="shared" si="46"/>
        <v>428900</v>
      </c>
      <c r="Q104" t="s">
        <v>281</v>
      </c>
      <c r="R104" t="s">
        <v>787</v>
      </c>
      <c r="S104" s="43">
        <v>46247</v>
      </c>
      <c r="T104">
        <f t="shared" si="60"/>
        <v>428900</v>
      </c>
      <c r="U104">
        <f>T104</f>
        <v>428900</v>
      </c>
      <c r="V104">
        <f t="shared" si="49"/>
        <v>0</v>
      </c>
      <c r="W104" t="str">
        <f t="shared" si="50"/>
        <v>CUADRADO (3-WAY OK)</v>
      </c>
      <c r="X104">
        <f>SUMIFS(Detalle_OT!$I$2:$I$592,Detalle_OT!$B$2:$B$592,A104)</f>
        <v>428900</v>
      </c>
      <c r="Y104">
        <f>SUMIFS(Detalle_OT!$H$2:$H$592,Detalle_OT!$B$2:$B$592,A104,Detalle_OT!$C$2:$C$592,"Repuesto")</f>
        <v>154810</v>
      </c>
      <c r="Z104">
        <f>SUMIFS(Detalle_OT!$H$2:$H$592,Detalle_OT!$B$2:$B$592,A104,Detalle_OT!$C$2:$C$592,"Mano de Obra")</f>
        <v>113100</v>
      </c>
      <c r="AA104">
        <f t="shared" si="51"/>
        <v>160990</v>
      </c>
      <c r="AB104">
        <f t="shared" si="52"/>
        <v>0.37535556073676846</v>
      </c>
      <c r="AC104" t="str">
        <f t="shared" si="53"/>
        <v>Margen No Negativo Confirmado</v>
      </c>
      <c r="AD104" t="str">
        <f t="shared" si="54"/>
        <v>2026-08</v>
      </c>
      <c r="AE104" t="str">
        <f t="shared" si="55"/>
        <v>Semana 33</v>
      </c>
      <c r="AF104">
        <f t="shared" si="56"/>
        <v>0</v>
      </c>
      <c r="AG104">
        <f t="shared" si="57"/>
        <v>1</v>
      </c>
      <c r="AH104">
        <f>IF(AND(G104="",OR(I104="En Curso",I104="Reprogramada"),F104&lt;Dashboard!$B$5),1,0)</f>
        <v>0</v>
      </c>
      <c r="AI104">
        <f t="shared" si="58"/>
        <v>0</v>
      </c>
      <c r="AJ104">
        <f t="shared" si="59"/>
        <v>0</v>
      </c>
      <c r="AK104">
        <f>IF(SUMIFS(Detalle_OT!$J$2:$J$592,Detalle_OT!$B$2:$B$592,A104)&gt;0,1,0)</f>
        <v>0</v>
      </c>
      <c r="AL104">
        <f>IF(AND(OR(Dashboard!$D$5="Todos",AD104=Dashboard!$D$5),OR(Dashboard!$F$5="Todos",D104=Dashboard!$F$5),OR(Dashboard!$H$5="Todos",I104=Dashboard!$H$5)),1,0)</f>
        <v>1</v>
      </c>
      <c r="AM104">
        <f>IF(AND(OR(Control_Mandante!$C$4="Todos", AD104=Control_Mandante!$C$4), OR(Control_Mandante!$F$4="Todos", B104=Control_Mandante!$F$4), OR(Control_Mandante!$I$4="Todos", W104=Control_Mandante!$I$4), OR(Control_Mandante!$L$4="Todos", H104=Control_Mandante!$L$4)), 1, 0)</f>
        <v>1</v>
      </c>
      <c r="AN104" t="str">
        <f>IF(AH104=1, COUNTIF(AH$2:AH104, 1), "")</f>
        <v/>
      </c>
      <c r="AO104" t="str">
        <f>IF(AJ104=1, COUNTIF(AJ$2:AJ104, 1), "")</f>
        <v/>
      </c>
      <c r="AP104" t="str">
        <f>IF(AK104=1, COUNTIF(AK$2:AK104, 1), "")</f>
        <v/>
      </c>
    </row>
    <row r="105" spans="1:42" x14ac:dyDescent="0.25">
      <c r="A105" t="s">
        <v>788</v>
      </c>
      <c r="B105" t="s">
        <v>177</v>
      </c>
      <c r="C105" t="s">
        <v>789</v>
      </c>
      <c r="D105" t="s">
        <v>301</v>
      </c>
      <c r="E105" s="43">
        <v>46246</v>
      </c>
      <c r="F105" s="43">
        <v>46253</v>
      </c>
      <c r="G105" s="43">
        <v>46255</v>
      </c>
      <c r="H105" t="s">
        <v>218</v>
      </c>
      <c r="I105" t="s">
        <v>277</v>
      </c>
      <c r="J105" t="s">
        <v>790</v>
      </c>
      <c r="K105" s="43">
        <v>46246</v>
      </c>
      <c r="L105">
        <f t="shared" si="48"/>
        <v>647270</v>
      </c>
      <c r="M105" t="s">
        <v>279</v>
      </c>
      <c r="N105" t="s">
        <v>791</v>
      </c>
      <c r="O105" s="43">
        <v>46247</v>
      </c>
      <c r="P105">
        <f t="shared" si="46"/>
        <v>647270</v>
      </c>
      <c r="Q105" t="s">
        <v>281</v>
      </c>
      <c r="R105" t="s">
        <v>792</v>
      </c>
      <c r="S105" s="43">
        <v>46257</v>
      </c>
      <c r="T105">
        <f t="shared" si="60"/>
        <v>647270</v>
      </c>
      <c r="U105">
        <f>T105</f>
        <v>647270</v>
      </c>
      <c r="V105">
        <f t="shared" si="49"/>
        <v>0</v>
      </c>
      <c r="W105" t="str">
        <f t="shared" si="50"/>
        <v>CUADRADO (3-WAY OK)</v>
      </c>
      <c r="X105">
        <f>SUMIFS(Detalle_OT!$I$2:$I$592,Detalle_OT!$B$2:$B$592,A105)</f>
        <v>647270</v>
      </c>
      <c r="Y105">
        <f>SUMIFS(Detalle_OT!$H$2:$H$592,Detalle_OT!$B$2:$B$592,A105,Detalle_OT!$C$2:$C$592,"Repuesto")</f>
        <v>167250</v>
      </c>
      <c r="Z105">
        <f>SUMIFS(Detalle_OT!$H$2:$H$592,Detalle_OT!$B$2:$B$592,A105,Detalle_OT!$C$2:$C$592,"Mano de Obra")</f>
        <v>236700</v>
      </c>
      <c r="AA105">
        <f t="shared" si="51"/>
        <v>243320</v>
      </c>
      <c r="AB105">
        <f t="shared" si="52"/>
        <v>0.37591731425834657</v>
      </c>
      <c r="AC105" t="str">
        <f t="shared" si="53"/>
        <v>Margen No Negativo Confirmado</v>
      </c>
      <c r="AD105" t="str">
        <f t="shared" si="54"/>
        <v>2026-08</v>
      </c>
      <c r="AE105" t="str">
        <f t="shared" si="55"/>
        <v>Semana 33</v>
      </c>
      <c r="AF105">
        <f t="shared" si="56"/>
        <v>9</v>
      </c>
      <c r="AG105">
        <f t="shared" si="57"/>
        <v>0</v>
      </c>
      <c r="AH105">
        <f>IF(AND(G105="",OR(I105="En Curso",I105="Reprogramada"),F105&lt;Dashboard!$B$5),1,0)</f>
        <v>0</v>
      </c>
      <c r="AI105">
        <f t="shared" si="58"/>
        <v>0</v>
      </c>
      <c r="AJ105">
        <f t="shared" si="59"/>
        <v>0</v>
      </c>
      <c r="AK105">
        <f>IF(SUMIFS(Detalle_OT!$J$2:$J$592,Detalle_OT!$B$2:$B$592,A105)&gt;0,1,0)</f>
        <v>0</v>
      </c>
      <c r="AL105">
        <f>IF(AND(OR(Dashboard!$D$5="Todos",AD105=Dashboard!$D$5),OR(Dashboard!$F$5="Todos",D105=Dashboard!$F$5),OR(Dashboard!$H$5="Todos",I105=Dashboard!$H$5)),1,0)</f>
        <v>1</v>
      </c>
      <c r="AM105">
        <f>IF(AND(OR(Control_Mandante!$C$4="Todos", AD105=Control_Mandante!$C$4), OR(Control_Mandante!$F$4="Todos", B105=Control_Mandante!$F$4), OR(Control_Mandante!$I$4="Todos", W105=Control_Mandante!$I$4), OR(Control_Mandante!$L$4="Todos", H105=Control_Mandante!$L$4)), 1, 0)</f>
        <v>1</v>
      </c>
      <c r="AN105" t="str">
        <f>IF(AH105=1, COUNTIF(AH$2:AH105, 1), "")</f>
        <v/>
      </c>
      <c r="AO105" t="str">
        <f>IF(AJ105=1, COUNTIF(AJ$2:AJ105, 1), "")</f>
        <v/>
      </c>
      <c r="AP105" t="str">
        <f>IF(AK105=1, COUNTIF(AK$2:AK105, 1), "")</f>
        <v/>
      </c>
    </row>
    <row r="106" spans="1:42" x14ac:dyDescent="0.25">
      <c r="A106" t="s">
        <v>793</v>
      </c>
      <c r="B106" t="s">
        <v>155</v>
      </c>
      <c r="C106" t="s">
        <v>794</v>
      </c>
      <c r="D106" t="s">
        <v>301</v>
      </c>
      <c r="E106" s="43">
        <v>46246</v>
      </c>
      <c r="F106" s="43">
        <v>46253</v>
      </c>
      <c r="G106" s="43">
        <v>46253</v>
      </c>
      <c r="H106" t="s">
        <v>232</v>
      </c>
      <c r="I106" t="s">
        <v>277</v>
      </c>
      <c r="J106" t="s">
        <v>795</v>
      </c>
      <c r="K106" s="43">
        <v>46246</v>
      </c>
      <c r="L106">
        <f t="shared" si="48"/>
        <v>895170</v>
      </c>
      <c r="M106" t="s">
        <v>279</v>
      </c>
      <c r="N106" t="s">
        <v>796</v>
      </c>
      <c r="O106" s="43">
        <v>46247</v>
      </c>
      <c r="P106">
        <f t="shared" si="46"/>
        <v>895170</v>
      </c>
      <c r="Q106" t="s">
        <v>281</v>
      </c>
      <c r="R106" t="s">
        <v>797</v>
      </c>
      <c r="S106" s="43">
        <v>46255</v>
      </c>
      <c r="T106">
        <f t="shared" si="60"/>
        <v>895170</v>
      </c>
      <c r="U106">
        <f>T106*0.5</f>
        <v>447585</v>
      </c>
      <c r="V106">
        <f t="shared" si="49"/>
        <v>447585</v>
      </c>
      <c r="W106" t="str">
        <f t="shared" si="50"/>
        <v>CUADRADO (3-WAY OK)</v>
      </c>
      <c r="X106">
        <f>SUMIFS(Detalle_OT!$I$2:$I$592,Detalle_OT!$B$2:$B$592,A106)</f>
        <v>895170</v>
      </c>
      <c r="Y106">
        <f>SUMIFS(Detalle_OT!$H$2:$H$592,Detalle_OT!$B$2:$B$592,A106,Detalle_OT!$C$2:$C$592,"Repuesto")</f>
        <v>496030</v>
      </c>
      <c r="Z106">
        <f>SUMIFS(Detalle_OT!$H$2:$H$592,Detalle_OT!$B$2:$B$592,A106,Detalle_OT!$C$2:$C$592,"Mano de Obra")</f>
        <v>95200</v>
      </c>
      <c r="AA106">
        <f t="shared" si="51"/>
        <v>303940</v>
      </c>
      <c r="AB106">
        <f t="shared" si="52"/>
        <v>0.33953327300959596</v>
      </c>
      <c r="AC106" t="str">
        <f t="shared" si="53"/>
        <v>Margen No Negativo Confirmado</v>
      </c>
      <c r="AD106" t="str">
        <f t="shared" si="54"/>
        <v>2026-08</v>
      </c>
      <c r="AE106" t="str">
        <f t="shared" si="55"/>
        <v>Semana 33</v>
      </c>
      <c r="AF106">
        <f t="shared" si="56"/>
        <v>7</v>
      </c>
      <c r="AG106">
        <f t="shared" si="57"/>
        <v>1</v>
      </c>
      <c r="AH106">
        <f>IF(AND(G106="",OR(I106="En Curso",I106="Reprogramada"),F106&lt;Dashboard!$B$5),1,0)</f>
        <v>0</v>
      </c>
      <c r="AI106">
        <f t="shared" si="58"/>
        <v>0</v>
      </c>
      <c r="AJ106">
        <f t="shared" si="59"/>
        <v>0</v>
      </c>
      <c r="AK106">
        <f>IF(SUMIFS(Detalle_OT!$J$2:$J$592,Detalle_OT!$B$2:$B$592,A106)&gt;0,1,0)</f>
        <v>0</v>
      </c>
      <c r="AL106">
        <f>IF(AND(OR(Dashboard!$D$5="Todos",AD106=Dashboard!$D$5),OR(Dashboard!$F$5="Todos",D106=Dashboard!$F$5),OR(Dashboard!$H$5="Todos",I106=Dashboard!$H$5)),1,0)</f>
        <v>1</v>
      </c>
      <c r="AM106">
        <f>IF(AND(OR(Control_Mandante!$C$4="Todos", AD106=Control_Mandante!$C$4), OR(Control_Mandante!$F$4="Todos", B106=Control_Mandante!$F$4), OR(Control_Mandante!$I$4="Todos", W106=Control_Mandante!$I$4), OR(Control_Mandante!$L$4="Todos", H106=Control_Mandante!$L$4)), 1, 0)</f>
        <v>1</v>
      </c>
      <c r="AN106" t="str">
        <f>IF(AH106=1, COUNTIF(AH$2:AH106, 1), "")</f>
        <v/>
      </c>
      <c r="AO106" t="str">
        <f>IF(AJ106=1, COUNTIF(AJ$2:AJ106, 1), "")</f>
        <v/>
      </c>
      <c r="AP106" t="str">
        <f>IF(AK106=1, COUNTIF(AK$2:AK106, 1), "")</f>
        <v/>
      </c>
    </row>
    <row r="107" spans="1:42" x14ac:dyDescent="0.25">
      <c r="A107" t="s">
        <v>798</v>
      </c>
      <c r="B107" t="s">
        <v>155</v>
      </c>
      <c r="C107" t="s">
        <v>799</v>
      </c>
      <c r="D107" t="s">
        <v>301</v>
      </c>
      <c r="E107" s="43">
        <v>46246</v>
      </c>
      <c r="F107" s="43">
        <v>46253</v>
      </c>
      <c r="G107" s="43">
        <v>46253</v>
      </c>
      <c r="H107" t="s">
        <v>215</v>
      </c>
      <c r="I107" t="s">
        <v>277</v>
      </c>
      <c r="J107" t="s">
        <v>800</v>
      </c>
      <c r="K107" s="43">
        <v>46246</v>
      </c>
      <c r="L107">
        <f t="shared" si="48"/>
        <v>932480</v>
      </c>
      <c r="M107" t="s">
        <v>279</v>
      </c>
      <c r="N107" t="s">
        <v>801</v>
      </c>
      <c r="O107" s="43">
        <v>46247</v>
      </c>
      <c r="P107">
        <f t="shared" si="46"/>
        <v>932480</v>
      </c>
      <c r="Q107" t="s">
        <v>281</v>
      </c>
      <c r="R107" t="s">
        <v>802</v>
      </c>
      <c r="S107" s="43">
        <v>46255</v>
      </c>
      <c r="T107">
        <f t="shared" si="60"/>
        <v>932480</v>
      </c>
      <c r="U107">
        <f>T107</f>
        <v>932480</v>
      </c>
      <c r="V107">
        <f t="shared" si="49"/>
        <v>0</v>
      </c>
      <c r="W107" t="str">
        <f t="shared" si="50"/>
        <v>CUADRADO (3-WAY OK)</v>
      </c>
      <c r="X107">
        <f>SUMIFS(Detalle_OT!$I$2:$I$592,Detalle_OT!$B$2:$B$592,A107)</f>
        <v>932480</v>
      </c>
      <c r="Y107">
        <f>SUMIFS(Detalle_OT!$H$2:$H$592,Detalle_OT!$B$2:$B$592,A107,Detalle_OT!$C$2:$C$592,"Repuesto")</f>
        <v>266020</v>
      </c>
      <c r="Z107">
        <f>SUMIFS(Detalle_OT!$H$2:$H$592,Detalle_OT!$B$2:$B$592,A107,Detalle_OT!$C$2:$C$592,"Mano de Obra")</f>
        <v>298800</v>
      </c>
      <c r="AA107">
        <f t="shared" si="51"/>
        <v>367660</v>
      </c>
      <c r="AB107">
        <f t="shared" si="52"/>
        <v>0.39428191489361702</v>
      </c>
      <c r="AC107" t="str">
        <f t="shared" si="53"/>
        <v>Margen No Negativo Confirmado</v>
      </c>
      <c r="AD107" t="str">
        <f t="shared" si="54"/>
        <v>2026-08</v>
      </c>
      <c r="AE107" t="str">
        <f t="shared" si="55"/>
        <v>Semana 33</v>
      </c>
      <c r="AF107">
        <f t="shared" si="56"/>
        <v>7</v>
      </c>
      <c r="AG107">
        <f t="shared" si="57"/>
        <v>1</v>
      </c>
      <c r="AH107">
        <f>IF(AND(G107="",OR(I107="En Curso",I107="Reprogramada"),F107&lt;Dashboard!$B$5),1,0)</f>
        <v>0</v>
      </c>
      <c r="AI107">
        <f t="shared" si="58"/>
        <v>0</v>
      </c>
      <c r="AJ107">
        <f t="shared" si="59"/>
        <v>0</v>
      </c>
      <c r="AK107">
        <f>IF(SUMIFS(Detalle_OT!$J$2:$J$592,Detalle_OT!$B$2:$B$592,A107)&gt;0,1,0)</f>
        <v>0</v>
      </c>
      <c r="AL107">
        <f>IF(AND(OR(Dashboard!$D$5="Todos",AD107=Dashboard!$D$5),OR(Dashboard!$F$5="Todos",D107=Dashboard!$F$5),OR(Dashboard!$H$5="Todos",I107=Dashboard!$H$5)),1,0)</f>
        <v>1</v>
      </c>
      <c r="AM107">
        <f>IF(AND(OR(Control_Mandante!$C$4="Todos", AD107=Control_Mandante!$C$4), OR(Control_Mandante!$F$4="Todos", B107=Control_Mandante!$F$4), OR(Control_Mandante!$I$4="Todos", W107=Control_Mandante!$I$4), OR(Control_Mandante!$L$4="Todos", H107=Control_Mandante!$L$4)), 1, 0)</f>
        <v>1</v>
      </c>
      <c r="AN107" t="str">
        <f>IF(AH107=1, COUNTIF(AH$2:AH107, 1), "")</f>
        <v/>
      </c>
      <c r="AO107" t="str">
        <f>IF(AJ107=1, COUNTIF(AJ$2:AJ107, 1), "")</f>
        <v/>
      </c>
      <c r="AP107" t="str">
        <f>IF(AK107=1, COUNTIF(AK$2:AK107, 1), "")</f>
        <v/>
      </c>
    </row>
    <row r="108" spans="1:42" x14ac:dyDescent="0.25">
      <c r="A108" t="s">
        <v>803</v>
      </c>
      <c r="B108" t="s">
        <v>159</v>
      </c>
      <c r="C108" t="s">
        <v>804</v>
      </c>
      <c r="D108" t="s">
        <v>276</v>
      </c>
      <c r="E108" s="43">
        <v>46247</v>
      </c>
      <c r="F108" s="43">
        <v>46250</v>
      </c>
      <c r="G108" s="43">
        <v>46249</v>
      </c>
      <c r="H108" t="s">
        <v>215</v>
      </c>
      <c r="I108" t="s">
        <v>290</v>
      </c>
      <c r="J108" t="s">
        <v>805</v>
      </c>
      <c r="K108" s="43">
        <v>46247</v>
      </c>
      <c r="L108">
        <f t="shared" si="48"/>
        <v>142160</v>
      </c>
      <c r="M108" t="s">
        <v>279</v>
      </c>
      <c r="N108" t="s">
        <v>806</v>
      </c>
      <c r="O108" s="43">
        <v>46248</v>
      </c>
      <c r="P108">
        <f t="shared" si="46"/>
        <v>142160</v>
      </c>
      <c r="Q108" t="s">
        <v>281</v>
      </c>
      <c r="T108">
        <v>0</v>
      </c>
      <c r="U108">
        <v>0</v>
      </c>
      <c r="V108">
        <f t="shared" si="49"/>
        <v>0</v>
      </c>
      <c r="W108" t="str">
        <f t="shared" si="50"/>
        <v>OC Recibida - Pendiente Factura</v>
      </c>
      <c r="X108">
        <f>SUMIFS(Detalle_OT!$I$2:$I$592,Detalle_OT!$B$2:$B$592,A108)</f>
        <v>142160</v>
      </c>
      <c r="Y108">
        <f>SUMIFS(Detalle_OT!$H$2:$H$592,Detalle_OT!$B$2:$B$592,A108,Detalle_OT!$C$2:$C$592,"Repuesto")</f>
        <v>37310</v>
      </c>
      <c r="Z108">
        <f>SUMIFS(Detalle_OT!$H$2:$H$592,Detalle_OT!$B$2:$B$592,A108,Detalle_OT!$C$2:$C$592,"Mano de Obra")</f>
        <v>45600</v>
      </c>
      <c r="AA108">
        <f t="shared" si="51"/>
        <v>59250</v>
      </c>
      <c r="AB108">
        <f t="shared" si="52"/>
        <v>0.41678390545863814</v>
      </c>
      <c r="AC108" t="str">
        <f t="shared" si="53"/>
        <v>Margen No Negativo Confirmado</v>
      </c>
      <c r="AD108" t="str">
        <f t="shared" si="54"/>
        <v>2026-08</v>
      </c>
      <c r="AE108" t="str">
        <f t="shared" si="55"/>
        <v>Semana 33</v>
      </c>
      <c r="AF108">
        <f t="shared" si="56"/>
        <v>2</v>
      </c>
      <c r="AG108">
        <f t="shared" si="57"/>
        <v>1</v>
      </c>
      <c r="AH108">
        <f>IF(AND(G108="",OR(I108="En Curso",I108="Reprogramada"),F108&lt;Dashboard!$B$5),1,0)</f>
        <v>0</v>
      </c>
      <c r="AI108">
        <f t="shared" si="58"/>
        <v>0</v>
      </c>
      <c r="AJ108">
        <f t="shared" si="59"/>
        <v>1</v>
      </c>
      <c r="AK108">
        <f>IF(SUMIFS(Detalle_OT!$J$2:$J$592,Detalle_OT!$B$2:$B$592,A108)&gt;0,1,0)</f>
        <v>0</v>
      </c>
      <c r="AL108">
        <f>IF(AND(OR(Dashboard!$D$5="Todos",AD108=Dashboard!$D$5),OR(Dashboard!$F$5="Todos",D108=Dashboard!$F$5),OR(Dashboard!$H$5="Todos",I108=Dashboard!$H$5)),1,0)</f>
        <v>1</v>
      </c>
      <c r="AM108">
        <f>IF(AND(OR(Control_Mandante!$C$4="Todos", AD108=Control_Mandante!$C$4), OR(Control_Mandante!$F$4="Todos", B108=Control_Mandante!$F$4), OR(Control_Mandante!$I$4="Todos", W108=Control_Mandante!$I$4), OR(Control_Mandante!$L$4="Todos", H108=Control_Mandante!$L$4)), 1, 0)</f>
        <v>1</v>
      </c>
      <c r="AN108" t="str">
        <f>IF(AH108=1, COUNTIF(AH$2:AH108, 1), "")</f>
        <v/>
      </c>
      <c r="AO108">
        <f>IF(AJ108=1, COUNTIF(AJ$2:AJ108, 1), "")</f>
        <v>5</v>
      </c>
      <c r="AP108" t="str">
        <f>IF(AK108=1, COUNTIF(AK$2:AK108, 1), "")</f>
        <v/>
      </c>
    </row>
    <row r="109" spans="1:42" x14ac:dyDescent="0.25">
      <c r="A109" t="s">
        <v>807</v>
      </c>
      <c r="B109" t="s">
        <v>155</v>
      </c>
      <c r="C109" t="s">
        <v>808</v>
      </c>
      <c r="D109" t="s">
        <v>301</v>
      </c>
      <c r="E109" s="43">
        <v>46247</v>
      </c>
      <c r="F109" s="43">
        <v>46251</v>
      </c>
      <c r="G109" s="43">
        <v>46250</v>
      </c>
      <c r="H109" t="s">
        <v>215</v>
      </c>
      <c r="I109" t="s">
        <v>277</v>
      </c>
      <c r="J109" t="s">
        <v>809</v>
      </c>
      <c r="K109" s="43">
        <v>46247</v>
      </c>
      <c r="L109">
        <f t="shared" si="48"/>
        <v>289380</v>
      </c>
      <c r="M109" t="s">
        <v>279</v>
      </c>
      <c r="N109" t="s">
        <v>810</v>
      </c>
      <c r="O109" s="43">
        <v>46248</v>
      </c>
      <c r="P109">
        <f t="shared" si="46"/>
        <v>289380</v>
      </c>
      <c r="Q109" t="s">
        <v>281</v>
      </c>
      <c r="R109" t="s">
        <v>811</v>
      </c>
      <c r="S109" s="43">
        <v>46252</v>
      </c>
      <c r="T109">
        <f>X109</f>
        <v>289380</v>
      </c>
      <c r="U109">
        <f>T109*0.5</f>
        <v>144690</v>
      </c>
      <c r="V109">
        <f t="shared" si="49"/>
        <v>144690</v>
      </c>
      <c r="W109" t="str">
        <f t="shared" si="50"/>
        <v>CUADRADO (3-WAY OK)</v>
      </c>
      <c r="X109">
        <f>SUMIFS(Detalle_OT!$I$2:$I$592,Detalle_OT!$B$2:$B$592,A109)</f>
        <v>289380</v>
      </c>
      <c r="Y109">
        <f>SUMIFS(Detalle_OT!$H$2:$H$592,Detalle_OT!$B$2:$B$592,A109,Detalle_OT!$C$2:$C$592,"Repuesto")</f>
        <v>62180</v>
      </c>
      <c r="Z109">
        <f>SUMIFS(Detalle_OT!$H$2:$H$592,Detalle_OT!$B$2:$B$592,A109,Detalle_OT!$C$2:$C$592,"Mano de Obra")</f>
        <v>116100</v>
      </c>
      <c r="AA109">
        <f t="shared" si="51"/>
        <v>111100</v>
      </c>
      <c r="AB109">
        <f t="shared" si="52"/>
        <v>0.38392425184878015</v>
      </c>
      <c r="AC109" t="str">
        <f t="shared" si="53"/>
        <v>Margen No Negativo Confirmado</v>
      </c>
      <c r="AD109" t="str">
        <f t="shared" si="54"/>
        <v>2026-08</v>
      </c>
      <c r="AE109" t="str">
        <f t="shared" si="55"/>
        <v>Semana 33</v>
      </c>
      <c r="AF109">
        <f t="shared" si="56"/>
        <v>3</v>
      </c>
      <c r="AG109">
        <f t="shared" si="57"/>
        <v>1</v>
      </c>
      <c r="AH109">
        <f>IF(AND(G109="",OR(I109="En Curso",I109="Reprogramada"),F109&lt;Dashboard!$B$5),1,0)</f>
        <v>0</v>
      </c>
      <c r="AI109">
        <f t="shared" si="58"/>
        <v>0</v>
      </c>
      <c r="AJ109">
        <f t="shared" si="59"/>
        <v>0</v>
      </c>
      <c r="AK109">
        <f>IF(SUMIFS(Detalle_OT!$J$2:$J$592,Detalle_OT!$B$2:$B$592,A109)&gt;0,1,0)</f>
        <v>0</v>
      </c>
      <c r="AL109">
        <f>IF(AND(OR(Dashboard!$D$5="Todos",AD109=Dashboard!$D$5),OR(Dashboard!$F$5="Todos",D109=Dashboard!$F$5),OR(Dashboard!$H$5="Todos",I109=Dashboard!$H$5)),1,0)</f>
        <v>1</v>
      </c>
      <c r="AM109">
        <f>IF(AND(OR(Control_Mandante!$C$4="Todos", AD109=Control_Mandante!$C$4), OR(Control_Mandante!$F$4="Todos", B109=Control_Mandante!$F$4), OR(Control_Mandante!$I$4="Todos", W109=Control_Mandante!$I$4), OR(Control_Mandante!$L$4="Todos", H109=Control_Mandante!$L$4)), 1, 0)</f>
        <v>1</v>
      </c>
      <c r="AN109" t="str">
        <f>IF(AH109=1, COUNTIF(AH$2:AH109, 1), "")</f>
        <v/>
      </c>
      <c r="AO109" t="str">
        <f>IF(AJ109=1, COUNTIF(AJ$2:AJ109, 1), "")</f>
        <v/>
      </c>
      <c r="AP109" t="str">
        <f>IF(AK109=1, COUNTIF(AK$2:AK109, 1), "")</f>
        <v/>
      </c>
    </row>
    <row r="110" spans="1:42" x14ac:dyDescent="0.25">
      <c r="A110" t="s">
        <v>812</v>
      </c>
      <c r="B110" t="s">
        <v>171</v>
      </c>
      <c r="C110" t="s">
        <v>813</v>
      </c>
      <c r="D110" t="s">
        <v>276</v>
      </c>
      <c r="E110" s="43">
        <v>46247</v>
      </c>
      <c r="F110" s="43">
        <v>46249</v>
      </c>
      <c r="H110" t="s">
        <v>218</v>
      </c>
      <c r="I110" t="s">
        <v>592</v>
      </c>
      <c r="J110" t="s">
        <v>814</v>
      </c>
      <c r="K110" s="43">
        <v>46247</v>
      </c>
      <c r="L110">
        <f t="shared" si="48"/>
        <v>368980</v>
      </c>
      <c r="M110" t="s">
        <v>279</v>
      </c>
      <c r="N110" t="s">
        <v>815</v>
      </c>
      <c r="O110" s="43">
        <v>46248</v>
      </c>
      <c r="P110">
        <f t="shared" si="46"/>
        <v>368980</v>
      </c>
      <c r="Q110" t="s">
        <v>281</v>
      </c>
      <c r="T110">
        <v>0</v>
      </c>
      <c r="U110">
        <v>0</v>
      </c>
      <c r="V110">
        <f t="shared" si="49"/>
        <v>0</v>
      </c>
      <c r="W110" t="str">
        <f t="shared" si="50"/>
        <v>OC Recibida - Pendiente Factura</v>
      </c>
      <c r="X110">
        <f>SUMIFS(Detalle_OT!$I$2:$I$592,Detalle_OT!$B$2:$B$592,A110)</f>
        <v>368980</v>
      </c>
      <c r="Y110">
        <f>SUMIFS(Detalle_OT!$H$2:$H$592,Detalle_OT!$B$2:$B$592,A110,Detalle_OT!$C$2:$C$592,"Repuesto")</f>
        <v>263790</v>
      </c>
      <c r="Z110">
        <f>SUMIFS(Detalle_OT!$H$2:$H$592,Detalle_OT!$B$2:$B$592,A110,Detalle_OT!$C$2:$C$592,"Mano de Obra")</f>
        <v>27200</v>
      </c>
      <c r="AA110">
        <f t="shared" si="51"/>
        <v>77990</v>
      </c>
      <c r="AB110">
        <f t="shared" si="52"/>
        <v>0.21136646972735651</v>
      </c>
      <c r="AC110" t="str">
        <f t="shared" si="53"/>
        <v>Margen No Negativo Confirmado</v>
      </c>
      <c r="AD110" t="str">
        <f t="shared" si="54"/>
        <v>2026-08</v>
      </c>
      <c r="AE110" t="str">
        <f t="shared" si="55"/>
        <v>Semana 33</v>
      </c>
      <c r="AF110" t="str">
        <f t="shared" si="56"/>
        <v/>
      </c>
      <c r="AG110" t="str">
        <f t="shared" si="57"/>
        <v/>
      </c>
      <c r="AH110">
        <f>IF(AND(G110="",OR(I110="En Curso",I110="Reprogramada"),F110&lt;Dashboard!$B$5),1,0)</f>
        <v>1</v>
      </c>
      <c r="AI110">
        <f t="shared" si="58"/>
        <v>0</v>
      </c>
      <c r="AJ110">
        <f t="shared" si="59"/>
        <v>0</v>
      </c>
      <c r="AK110">
        <f>IF(SUMIFS(Detalle_OT!$J$2:$J$592,Detalle_OT!$B$2:$B$592,A110)&gt;0,1,0)</f>
        <v>0</v>
      </c>
      <c r="AL110">
        <f>IF(AND(OR(Dashboard!$D$5="Todos",AD110=Dashboard!$D$5),OR(Dashboard!$F$5="Todos",D110=Dashboard!$F$5),OR(Dashboard!$H$5="Todos",I110=Dashboard!$H$5)),1,0)</f>
        <v>1</v>
      </c>
      <c r="AM110">
        <f>IF(AND(OR(Control_Mandante!$C$4="Todos", AD110=Control_Mandante!$C$4), OR(Control_Mandante!$F$4="Todos", B110=Control_Mandante!$F$4), OR(Control_Mandante!$I$4="Todos", W110=Control_Mandante!$I$4), OR(Control_Mandante!$L$4="Todos", H110=Control_Mandante!$L$4)), 1, 0)</f>
        <v>1</v>
      </c>
      <c r="AN110">
        <f>IF(AH110=1, COUNTIF(AH$2:AH110, 1), "")</f>
        <v>5</v>
      </c>
      <c r="AO110" t="str">
        <f>IF(AJ110=1, COUNTIF(AJ$2:AJ110, 1), "")</f>
        <v/>
      </c>
      <c r="AP110" t="str">
        <f>IF(AK110=1, COUNTIF(AK$2:AK110, 1), "")</f>
        <v/>
      </c>
    </row>
    <row r="111" spans="1:42" x14ac:dyDescent="0.25">
      <c r="A111" t="s">
        <v>816</v>
      </c>
      <c r="B111" t="s">
        <v>162</v>
      </c>
      <c r="C111" t="s">
        <v>817</v>
      </c>
      <c r="D111" t="s">
        <v>301</v>
      </c>
      <c r="E111" s="43">
        <v>46249</v>
      </c>
      <c r="F111" s="43">
        <v>46252</v>
      </c>
      <c r="G111" s="43">
        <v>46257</v>
      </c>
      <c r="H111" t="s">
        <v>220</v>
      </c>
      <c r="I111" t="s">
        <v>277</v>
      </c>
      <c r="J111" t="s">
        <v>818</v>
      </c>
      <c r="K111" s="43">
        <v>46249</v>
      </c>
      <c r="L111">
        <f t="shared" si="48"/>
        <v>571190</v>
      </c>
      <c r="M111" t="s">
        <v>279</v>
      </c>
      <c r="N111" t="s">
        <v>819</v>
      </c>
      <c r="O111" s="43">
        <v>46250</v>
      </c>
      <c r="P111">
        <f t="shared" si="46"/>
        <v>571190</v>
      </c>
      <c r="Q111" t="s">
        <v>281</v>
      </c>
      <c r="R111" t="s">
        <v>820</v>
      </c>
      <c r="S111" s="43">
        <v>46259</v>
      </c>
      <c r="T111">
        <f>X111</f>
        <v>571190</v>
      </c>
      <c r="U111">
        <f>T111</f>
        <v>571190</v>
      </c>
      <c r="V111">
        <f t="shared" si="49"/>
        <v>0</v>
      </c>
      <c r="W111" t="str">
        <f t="shared" si="50"/>
        <v>CUADRADO (3-WAY OK)</v>
      </c>
      <c r="X111">
        <f>SUMIFS(Detalle_OT!$I$2:$I$592,Detalle_OT!$B$2:$B$592,A111)</f>
        <v>571190</v>
      </c>
      <c r="Y111">
        <f>SUMIFS(Detalle_OT!$H$2:$H$592,Detalle_OT!$B$2:$B$592,A111,Detalle_OT!$C$2:$C$592,"Repuesto")</f>
        <v>60070</v>
      </c>
      <c r="Z111">
        <f>SUMIFS(Detalle_OT!$H$2:$H$592,Detalle_OT!$B$2:$B$592,A111,Detalle_OT!$C$2:$C$592,"Mano de Obra")</f>
        <v>249800</v>
      </c>
      <c r="AA111">
        <f t="shared" si="51"/>
        <v>261320</v>
      </c>
      <c r="AB111">
        <f t="shared" si="52"/>
        <v>0.45750100667028487</v>
      </c>
      <c r="AC111" t="str">
        <f t="shared" si="53"/>
        <v>Margen No Negativo Confirmado</v>
      </c>
      <c r="AD111" t="str">
        <f t="shared" si="54"/>
        <v>2026-08</v>
      </c>
      <c r="AE111" t="str">
        <f t="shared" si="55"/>
        <v>Semana 33</v>
      </c>
      <c r="AF111">
        <f t="shared" si="56"/>
        <v>8</v>
      </c>
      <c r="AG111">
        <f t="shared" si="57"/>
        <v>0</v>
      </c>
      <c r="AH111">
        <f>IF(AND(G111="",OR(I111="En Curso",I111="Reprogramada"),F111&lt;Dashboard!$B$5),1,0)</f>
        <v>0</v>
      </c>
      <c r="AI111">
        <f t="shared" si="58"/>
        <v>0</v>
      </c>
      <c r="AJ111">
        <f t="shared" si="59"/>
        <v>0</v>
      </c>
      <c r="AK111">
        <f>IF(SUMIFS(Detalle_OT!$J$2:$J$592,Detalle_OT!$B$2:$B$592,A111)&gt;0,1,0)</f>
        <v>0</v>
      </c>
      <c r="AL111">
        <f>IF(AND(OR(Dashboard!$D$5="Todos",AD111=Dashboard!$D$5),OR(Dashboard!$F$5="Todos",D111=Dashboard!$F$5),OR(Dashboard!$H$5="Todos",I111=Dashboard!$H$5)),1,0)</f>
        <v>1</v>
      </c>
      <c r="AM111">
        <f>IF(AND(OR(Control_Mandante!$C$4="Todos", AD111=Control_Mandante!$C$4), OR(Control_Mandante!$F$4="Todos", B111=Control_Mandante!$F$4), OR(Control_Mandante!$I$4="Todos", W111=Control_Mandante!$I$4), OR(Control_Mandante!$L$4="Todos", H111=Control_Mandante!$L$4)), 1, 0)</f>
        <v>1</v>
      </c>
      <c r="AN111" t="str">
        <f>IF(AH111=1, COUNTIF(AH$2:AH111, 1), "")</f>
        <v/>
      </c>
      <c r="AO111" t="str">
        <f>IF(AJ111=1, COUNTIF(AJ$2:AJ111, 1), "")</f>
        <v/>
      </c>
      <c r="AP111" t="str">
        <f>IF(AK111=1, COUNTIF(AK$2:AK111, 1), "")</f>
        <v/>
      </c>
    </row>
    <row r="112" spans="1:42" x14ac:dyDescent="0.25">
      <c r="A112" t="s">
        <v>821</v>
      </c>
      <c r="B112" t="s">
        <v>183</v>
      </c>
      <c r="C112" t="s">
        <v>822</v>
      </c>
      <c r="D112" t="s">
        <v>276</v>
      </c>
      <c r="E112" s="43">
        <v>46249</v>
      </c>
      <c r="F112" s="43">
        <v>46251</v>
      </c>
      <c r="G112" s="43">
        <v>46253</v>
      </c>
      <c r="H112" t="s">
        <v>215</v>
      </c>
      <c r="I112" t="s">
        <v>277</v>
      </c>
      <c r="J112" t="s">
        <v>823</v>
      </c>
      <c r="K112" s="43">
        <v>46249</v>
      </c>
      <c r="L112">
        <f t="shared" si="48"/>
        <v>356270</v>
      </c>
      <c r="M112" t="s">
        <v>279</v>
      </c>
      <c r="N112" t="s">
        <v>824</v>
      </c>
      <c r="O112" s="43">
        <v>46250</v>
      </c>
      <c r="P112">
        <f t="shared" si="46"/>
        <v>356270</v>
      </c>
      <c r="Q112" t="s">
        <v>281</v>
      </c>
      <c r="R112" t="s">
        <v>825</v>
      </c>
      <c r="S112" s="43">
        <v>46255</v>
      </c>
      <c r="T112">
        <f>X112</f>
        <v>356270</v>
      </c>
      <c r="U112">
        <f>T112*0.5</f>
        <v>178135</v>
      </c>
      <c r="V112">
        <f t="shared" si="49"/>
        <v>178135</v>
      </c>
      <c r="W112" t="str">
        <f t="shared" si="50"/>
        <v>CUADRADO (3-WAY OK)</v>
      </c>
      <c r="X112">
        <f>SUMIFS(Detalle_OT!$I$2:$I$592,Detalle_OT!$B$2:$B$592,A112)</f>
        <v>356270</v>
      </c>
      <c r="Y112">
        <f>SUMIFS(Detalle_OT!$H$2:$H$592,Detalle_OT!$B$2:$B$592,A112,Detalle_OT!$C$2:$C$592,"Repuesto")</f>
        <v>96090</v>
      </c>
      <c r="Z112">
        <f>SUMIFS(Detalle_OT!$H$2:$H$592,Detalle_OT!$B$2:$B$592,A112,Detalle_OT!$C$2:$C$592,"Mano de Obra")</f>
        <v>111600</v>
      </c>
      <c r="AA112">
        <f t="shared" si="51"/>
        <v>148580</v>
      </c>
      <c r="AB112">
        <f t="shared" si="52"/>
        <v>0.41704325371207229</v>
      </c>
      <c r="AC112" t="str">
        <f t="shared" si="53"/>
        <v>Margen No Negativo Confirmado</v>
      </c>
      <c r="AD112" t="str">
        <f t="shared" si="54"/>
        <v>2026-08</v>
      </c>
      <c r="AE112" t="str">
        <f t="shared" si="55"/>
        <v>Semana 33</v>
      </c>
      <c r="AF112">
        <f t="shared" si="56"/>
        <v>4</v>
      </c>
      <c r="AG112">
        <f t="shared" si="57"/>
        <v>0</v>
      </c>
      <c r="AH112">
        <f>IF(AND(G112="",OR(I112="En Curso",I112="Reprogramada"),F112&lt;Dashboard!$B$5),1,0)</f>
        <v>0</v>
      </c>
      <c r="AI112">
        <f t="shared" si="58"/>
        <v>0</v>
      </c>
      <c r="AJ112">
        <f t="shared" si="59"/>
        <v>0</v>
      </c>
      <c r="AK112">
        <f>IF(SUMIFS(Detalle_OT!$J$2:$J$592,Detalle_OT!$B$2:$B$592,A112)&gt;0,1,0)</f>
        <v>0</v>
      </c>
      <c r="AL112">
        <f>IF(AND(OR(Dashboard!$D$5="Todos",AD112=Dashboard!$D$5),OR(Dashboard!$F$5="Todos",D112=Dashboard!$F$5),OR(Dashboard!$H$5="Todos",I112=Dashboard!$H$5)),1,0)</f>
        <v>1</v>
      </c>
      <c r="AM112">
        <f>IF(AND(OR(Control_Mandante!$C$4="Todos", AD112=Control_Mandante!$C$4), OR(Control_Mandante!$F$4="Todos", B112=Control_Mandante!$F$4), OR(Control_Mandante!$I$4="Todos", W112=Control_Mandante!$I$4), OR(Control_Mandante!$L$4="Todos", H112=Control_Mandante!$L$4)), 1, 0)</f>
        <v>1</v>
      </c>
      <c r="AN112" t="str">
        <f>IF(AH112=1, COUNTIF(AH$2:AH112, 1), "")</f>
        <v/>
      </c>
      <c r="AO112" t="str">
        <f>IF(AJ112=1, COUNTIF(AJ$2:AJ112, 1), "")</f>
        <v/>
      </c>
      <c r="AP112" t="str">
        <f>IF(AK112=1, COUNTIF(AK$2:AK112, 1), "")</f>
        <v/>
      </c>
    </row>
    <row r="113" spans="1:42" x14ac:dyDescent="0.25">
      <c r="A113" t="s">
        <v>826</v>
      </c>
      <c r="B113" t="s">
        <v>177</v>
      </c>
      <c r="C113" t="s">
        <v>827</v>
      </c>
      <c r="D113" t="s">
        <v>301</v>
      </c>
      <c r="E113" s="43">
        <v>46249</v>
      </c>
      <c r="F113" s="43">
        <v>46253</v>
      </c>
      <c r="G113" s="43">
        <v>46258</v>
      </c>
      <c r="H113" t="s">
        <v>229</v>
      </c>
      <c r="I113" t="s">
        <v>277</v>
      </c>
      <c r="J113" t="s">
        <v>828</v>
      </c>
      <c r="K113" s="43">
        <v>46249</v>
      </c>
      <c r="L113">
        <f t="shared" si="48"/>
        <v>458770</v>
      </c>
      <c r="M113" t="s">
        <v>279</v>
      </c>
      <c r="N113" t="s">
        <v>829</v>
      </c>
      <c r="O113" s="43">
        <v>46250</v>
      </c>
      <c r="P113">
        <f t="shared" si="46"/>
        <v>458770</v>
      </c>
      <c r="Q113" t="s">
        <v>281</v>
      </c>
      <c r="R113" t="s">
        <v>830</v>
      </c>
      <c r="S113" s="43">
        <v>46260</v>
      </c>
      <c r="T113">
        <f>X113</f>
        <v>458770</v>
      </c>
      <c r="U113">
        <f>T113</f>
        <v>458770</v>
      </c>
      <c r="V113">
        <f t="shared" si="49"/>
        <v>0</v>
      </c>
      <c r="W113" t="str">
        <f t="shared" si="50"/>
        <v>CUADRADO (3-WAY OK)</v>
      </c>
      <c r="X113">
        <f>SUMIFS(Detalle_OT!$I$2:$I$592,Detalle_OT!$B$2:$B$592,A113)</f>
        <v>458770</v>
      </c>
      <c r="Y113">
        <f>SUMIFS(Detalle_OT!$H$2:$H$592,Detalle_OT!$B$2:$B$592,A113,Detalle_OT!$C$2:$C$592,"Repuesto")</f>
        <v>209640</v>
      </c>
      <c r="Z113">
        <f>SUMIFS(Detalle_OT!$H$2:$H$592,Detalle_OT!$B$2:$B$592,A113,Detalle_OT!$C$2:$C$592,"Mano de Obra")</f>
        <v>88200</v>
      </c>
      <c r="AA113">
        <f t="shared" si="51"/>
        <v>160930</v>
      </c>
      <c r="AB113">
        <f t="shared" si="52"/>
        <v>0.35078579680449901</v>
      </c>
      <c r="AC113" t="str">
        <f t="shared" si="53"/>
        <v>Margen No Negativo Confirmado</v>
      </c>
      <c r="AD113" t="str">
        <f t="shared" si="54"/>
        <v>2026-08</v>
      </c>
      <c r="AE113" t="str">
        <f t="shared" si="55"/>
        <v>Semana 33</v>
      </c>
      <c r="AF113">
        <f t="shared" si="56"/>
        <v>9</v>
      </c>
      <c r="AG113">
        <f t="shared" si="57"/>
        <v>0</v>
      </c>
      <c r="AH113">
        <f>IF(AND(G113="",OR(I113="En Curso",I113="Reprogramada"),F113&lt;Dashboard!$B$5),1,0)</f>
        <v>0</v>
      </c>
      <c r="AI113">
        <f t="shared" si="58"/>
        <v>0</v>
      </c>
      <c r="AJ113">
        <f t="shared" si="59"/>
        <v>0</v>
      </c>
      <c r="AK113">
        <f>IF(SUMIFS(Detalle_OT!$J$2:$J$592,Detalle_OT!$B$2:$B$592,A113)&gt;0,1,0)</f>
        <v>0</v>
      </c>
      <c r="AL113">
        <f>IF(AND(OR(Dashboard!$D$5="Todos",AD113=Dashboard!$D$5),OR(Dashboard!$F$5="Todos",D113=Dashboard!$F$5),OR(Dashboard!$H$5="Todos",I113=Dashboard!$H$5)),1,0)</f>
        <v>1</v>
      </c>
      <c r="AM113">
        <f>IF(AND(OR(Control_Mandante!$C$4="Todos", AD113=Control_Mandante!$C$4), OR(Control_Mandante!$F$4="Todos", B113=Control_Mandante!$F$4), OR(Control_Mandante!$I$4="Todos", W113=Control_Mandante!$I$4), OR(Control_Mandante!$L$4="Todos", H113=Control_Mandante!$L$4)), 1, 0)</f>
        <v>1</v>
      </c>
      <c r="AN113" t="str">
        <f>IF(AH113=1, COUNTIF(AH$2:AH113, 1), "")</f>
        <v/>
      </c>
      <c r="AO113" t="str">
        <f>IF(AJ113=1, COUNTIF(AJ$2:AJ113, 1), "")</f>
        <v/>
      </c>
      <c r="AP113" t="str">
        <f>IF(AK113=1, COUNTIF(AK$2:AK113, 1), "")</f>
        <v/>
      </c>
    </row>
    <row r="114" spans="1:42" x14ac:dyDescent="0.25">
      <c r="A114" t="s">
        <v>831</v>
      </c>
      <c r="B114" t="s">
        <v>200</v>
      </c>
      <c r="C114" t="s">
        <v>832</v>
      </c>
      <c r="D114" t="s">
        <v>276</v>
      </c>
      <c r="E114" s="43">
        <v>46249</v>
      </c>
      <c r="F114" s="43">
        <v>46253</v>
      </c>
      <c r="G114" s="43">
        <v>46252</v>
      </c>
      <c r="H114" t="s">
        <v>232</v>
      </c>
      <c r="I114" t="s">
        <v>277</v>
      </c>
      <c r="J114" t="s">
        <v>833</v>
      </c>
      <c r="K114" s="43">
        <v>46249</v>
      </c>
      <c r="L114">
        <f t="shared" si="48"/>
        <v>302910</v>
      </c>
      <c r="M114" t="s">
        <v>279</v>
      </c>
      <c r="N114" t="s">
        <v>834</v>
      </c>
      <c r="O114" s="43">
        <v>46250</v>
      </c>
      <c r="P114">
        <f t="shared" si="46"/>
        <v>302910</v>
      </c>
      <c r="Q114" t="s">
        <v>281</v>
      </c>
      <c r="R114" t="s">
        <v>835</v>
      </c>
      <c r="S114" s="43">
        <v>46254</v>
      </c>
      <c r="T114">
        <f>X114</f>
        <v>302910</v>
      </c>
      <c r="U114">
        <f>T114</f>
        <v>302910</v>
      </c>
      <c r="V114">
        <f t="shared" si="49"/>
        <v>0</v>
      </c>
      <c r="W114" t="str">
        <f t="shared" si="50"/>
        <v>CUADRADO (3-WAY OK)</v>
      </c>
      <c r="X114">
        <f>SUMIFS(Detalle_OT!$I$2:$I$592,Detalle_OT!$B$2:$B$592,A114)</f>
        <v>302910</v>
      </c>
      <c r="Y114">
        <f>SUMIFS(Detalle_OT!$H$2:$H$592,Detalle_OT!$B$2:$B$592,A114,Detalle_OT!$C$2:$C$592,"Repuesto")</f>
        <v>107070</v>
      </c>
      <c r="Z114">
        <f>SUMIFS(Detalle_OT!$H$2:$H$592,Detalle_OT!$B$2:$B$592,A114,Detalle_OT!$C$2:$C$592,"Mano de Obra")</f>
        <v>73000</v>
      </c>
      <c r="AA114">
        <f t="shared" si="51"/>
        <v>122840</v>
      </c>
      <c r="AB114">
        <f t="shared" si="52"/>
        <v>0.40553299659965009</v>
      </c>
      <c r="AC114" t="str">
        <f t="shared" si="53"/>
        <v>Margen No Negativo Confirmado</v>
      </c>
      <c r="AD114" t="str">
        <f t="shared" si="54"/>
        <v>2026-08</v>
      </c>
      <c r="AE114" t="str">
        <f t="shared" si="55"/>
        <v>Semana 33</v>
      </c>
      <c r="AF114">
        <f t="shared" si="56"/>
        <v>3</v>
      </c>
      <c r="AG114">
        <f t="shared" si="57"/>
        <v>1</v>
      </c>
      <c r="AH114">
        <f>IF(AND(G114="",OR(I114="En Curso",I114="Reprogramada"),F114&lt;Dashboard!$B$5),1,0)</f>
        <v>0</v>
      </c>
      <c r="AI114">
        <f t="shared" si="58"/>
        <v>0</v>
      </c>
      <c r="AJ114">
        <f t="shared" si="59"/>
        <v>0</v>
      </c>
      <c r="AK114">
        <f>IF(SUMIFS(Detalle_OT!$J$2:$J$592,Detalle_OT!$B$2:$B$592,A114)&gt;0,1,0)</f>
        <v>0</v>
      </c>
      <c r="AL114">
        <f>IF(AND(OR(Dashboard!$D$5="Todos",AD114=Dashboard!$D$5),OR(Dashboard!$F$5="Todos",D114=Dashboard!$F$5),OR(Dashboard!$H$5="Todos",I114=Dashboard!$H$5)),1,0)</f>
        <v>1</v>
      </c>
      <c r="AM114">
        <f>IF(AND(OR(Control_Mandante!$C$4="Todos", AD114=Control_Mandante!$C$4), OR(Control_Mandante!$F$4="Todos", B114=Control_Mandante!$F$4), OR(Control_Mandante!$I$4="Todos", W114=Control_Mandante!$I$4), OR(Control_Mandante!$L$4="Todos", H114=Control_Mandante!$L$4)), 1, 0)</f>
        <v>1</v>
      </c>
      <c r="AN114" t="str">
        <f>IF(AH114=1, COUNTIF(AH$2:AH114, 1), "")</f>
        <v/>
      </c>
      <c r="AO114" t="str">
        <f>IF(AJ114=1, COUNTIF(AJ$2:AJ114, 1), "")</f>
        <v/>
      </c>
      <c r="AP114" t="str">
        <f>IF(AK114=1, COUNTIF(AK$2:AK114, 1), "")</f>
        <v/>
      </c>
    </row>
    <row r="115" spans="1:42" x14ac:dyDescent="0.25">
      <c r="A115" t="s">
        <v>836</v>
      </c>
      <c r="B115" t="s">
        <v>174</v>
      </c>
      <c r="C115" t="s">
        <v>837</v>
      </c>
      <c r="D115" t="s">
        <v>301</v>
      </c>
      <c r="E115" s="43">
        <v>46251</v>
      </c>
      <c r="F115" s="43">
        <v>46254</v>
      </c>
      <c r="G115" s="43">
        <v>46258</v>
      </c>
      <c r="H115" t="s">
        <v>218</v>
      </c>
      <c r="I115" t="s">
        <v>277</v>
      </c>
      <c r="J115" t="s">
        <v>838</v>
      </c>
      <c r="K115" s="43">
        <v>46251</v>
      </c>
      <c r="L115">
        <f t="shared" si="48"/>
        <v>392440</v>
      </c>
      <c r="M115" t="s">
        <v>279</v>
      </c>
      <c r="N115" t="s">
        <v>839</v>
      </c>
      <c r="O115" s="43">
        <v>46252</v>
      </c>
      <c r="P115">
        <f t="shared" si="46"/>
        <v>392440</v>
      </c>
      <c r="Q115" t="s">
        <v>281</v>
      </c>
      <c r="R115" t="s">
        <v>840</v>
      </c>
      <c r="S115" s="43">
        <v>46260</v>
      </c>
      <c r="T115">
        <f>X115</f>
        <v>392440</v>
      </c>
      <c r="U115">
        <f>T115*0.5</f>
        <v>196220</v>
      </c>
      <c r="V115">
        <f t="shared" si="49"/>
        <v>196220</v>
      </c>
      <c r="W115" t="str">
        <f t="shared" si="50"/>
        <v>CUADRADO (3-WAY OK)</v>
      </c>
      <c r="X115">
        <f>SUMIFS(Detalle_OT!$I$2:$I$592,Detalle_OT!$B$2:$B$592,A115)</f>
        <v>392440</v>
      </c>
      <c r="Y115">
        <f>SUMIFS(Detalle_OT!$H$2:$H$592,Detalle_OT!$B$2:$B$592,A115,Detalle_OT!$C$2:$C$592,"Repuesto")</f>
        <v>259200</v>
      </c>
      <c r="Z115">
        <f>SUMIFS(Detalle_OT!$H$2:$H$592,Detalle_OT!$B$2:$B$592,A115,Detalle_OT!$C$2:$C$592,"Mano de Obra")</f>
        <v>70200</v>
      </c>
      <c r="AA115">
        <f t="shared" si="51"/>
        <v>63040</v>
      </c>
      <c r="AB115">
        <f t="shared" si="52"/>
        <v>0.16063602079298747</v>
      </c>
      <c r="AC115" t="str">
        <f t="shared" si="53"/>
        <v>Margen No Negativo Confirmado</v>
      </c>
      <c r="AD115" t="str">
        <f t="shared" si="54"/>
        <v>2026-08</v>
      </c>
      <c r="AE115" t="str">
        <f t="shared" si="55"/>
        <v>Semana 34</v>
      </c>
      <c r="AF115">
        <f t="shared" si="56"/>
        <v>7</v>
      </c>
      <c r="AG115">
        <f t="shared" si="57"/>
        <v>0</v>
      </c>
      <c r="AH115">
        <f>IF(AND(G115="",OR(I115="En Curso",I115="Reprogramada"),F115&lt;Dashboard!$B$5),1,0)</f>
        <v>0</v>
      </c>
      <c r="AI115">
        <f t="shared" si="58"/>
        <v>0</v>
      </c>
      <c r="AJ115">
        <f t="shared" si="59"/>
        <v>0</v>
      </c>
      <c r="AK115">
        <f>IF(SUMIFS(Detalle_OT!$J$2:$J$592,Detalle_OT!$B$2:$B$592,A115)&gt;0,1,0)</f>
        <v>0</v>
      </c>
      <c r="AL115">
        <f>IF(AND(OR(Dashboard!$D$5="Todos",AD115=Dashboard!$D$5),OR(Dashboard!$F$5="Todos",D115=Dashboard!$F$5),OR(Dashboard!$H$5="Todos",I115=Dashboard!$H$5)),1,0)</f>
        <v>1</v>
      </c>
      <c r="AM115">
        <f>IF(AND(OR(Control_Mandante!$C$4="Todos", AD115=Control_Mandante!$C$4), OR(Control_Mandante!$F$4="Todos", B115=Control_Mandante!$F$4), OR(Control_Mandante!$I$4="Todos", W115=Control_Mandante!$I$4), OR(Control_Mandante!$L$4="Todos", H115=Control_Mandante!$L$4)), 1, 0)</f>
        <v>1</v>
      </c>
      <c r="AN115" t="str">
        <f>IF(AH115=1, COUNTIF(AH$2:AH115, 1), "")</f>
        <v/>
      </c>
      <c r="AO115" t="str">
        <f>IF(AJ115=1, COUNTIF(AJ$2:AJ115, 1), "")</f>
        <v/>
      </c>
      <c r="AP115" t="str">
        <f>IF(AK115=1, COUNTIF(AK$2:AK115, 1), "")</f>
        <v/>
      </c>
    </row>
    <row r="116" spans="1:42" x14ac:dyDescent="0.25">
      <c r="A116" t="s">
        <v>841</v>
      </c>
      <c r="B116" t="s">
        <v>187</v>
      </c>
      <c r="C116" t="s">
        <v>842</v>
      </c>
      <c r="D116" t="s">
        <v>276</v>
      </c>
      <c r="E116" s="43">
        <v>46253</v>
      </c>
      <c r="F116" s="43">
        <v>46255</v>
      </c>
      <c r="H116" t="s">
        <v>218</v>
      </c>
      <c r="I116" t="s">
        <v>352</v>
      </c>
      <c r="J116" t="s">
        <v>843</v>
      </c>
      <c r="K116" s="43">
        <v>46253</v>
      </c>
      <c r="L116">
        <f t="shared" si="48"/>
        <v>197710</v>
      </c>
      <c r="M116" t="s">
        <v>279</v>
      </c>
      <c r="N116" t="s">
        <v>844</v>
      </c>
      <c r="O116" s="43">
        <v>46254</v>
      </c>
      <c r="P116">
        <f t="shared" si="46"/>
        <v>197710</v>
      </c>
      <c r="Q116" t="s">
        <v>281</v>
      </c>
      <c r="T116">
        <v>0</v>
      </c>
      <c r="U116">
        <v>0</v>
      </c>
      <c r="V116">
        <f t="shared" si="49"/>
        <v>0</v>
      </c>
      <c r="W116" t="str">
        <f t="shared" si="50"/>
        <v>OC Recibida - Pendiente Factura</v>
      </c>
      <c r="X116">
        <f>SUMIFS(Detalle_OT!$I$2:$I$592,Detalle_OT!$B$2:$B$592,A116)</f>
        <v>197710</v>
      </c>
      <c r="Y116">
        <f>SUMIFS(Detalle_OT!$H$2:$H$592,Detalle_OT!$B$2:$B$592,A116,Detalle_OT!$C$2:$C$592,"Repuesto")</f>
        <v>133200</v>
      </c>
      <c r="Z116">
        <f>SUMIFS(Detalle_OT!$H$2:$H$592,Detalle_OT!$B$2:$B$592,A116,Detalle_OT!$C$2:$C$592,"Mano de Obra")</f>
        <v>23600</v>
      </c>
      <c r="AA116" t="str">
        <f t="shared" si="51"/>
        <v/>
      </c>
      <c r="AB116" t="str">
        <f t="shared" si="52"/>
        <v/>
      </c>
      <c r="AC116" t="str">
        <f t="shared" si="53"/>
        <v>Pendiente de Validación</v>
      </c>
      <c r="AD116" t="str">
        <f t="shared" si="54"/>
        <v>2026-08</v>
      </c>
      <c r="AE116" t="str">
        <f t="shared" si="55"/>
        <v>Semana 34</v>
      </c>
      <c r="AF116" t="str">
        <f t="shared" si="56"/>
        <v/>
      </c>
      <c r="AG116" t="str">
        <f t="shared" si="57"/>
        <v/>
      </c>
      <c r="AH116">
        <f>IF(AND(G116="",OR(I116="En Curso",I116="Reprogramada"),F116&lt;Dashboard!$B$5),1,0)</f>
        <v>1</v>
      </c>
      <c r="AI116">
        <f t="shared" si="58"/>
        <v>0</v>
      </c>
      <c r="AJ116">
        <f t="shared" si="59"/>
        <v>0</v>
      </c>
      <c r="AK116">
        <f>IF(SUMIFS(Detalle_OT!$J$2:$J$592,Detalle_OT!$B$2:$B$592,A116)&gt;0,1,0)</f>
        <v>1</v>
      </c>
      <c r="AL116">
        <f>IF(AND(OR(Dashboard!$D$5="Todos",AD116=Dashboard!$D$5),OR(Dashboard!$F$5="Todos",D116=Dashboard!$F$5),OR(Dashboard!$H$5="Todos",I116=Dashboard!$H$5)),1,0)</f>
        <v>1</v>
      </c>
      <c r="AM116">
        <f>IF(AND(OR(Control_Mandante!$C$4="Todos", AD116=Control_Mandante!$C$4), OR(Control_Mandante!$F$4="Todos", B116=Control_Mandante!$F$4), OR(Control_Mandante!$I$4="Todos", W116=Control_Mandante!$I$4), OR(Control_Mandante!$L$4="Todos", H116=Control_Mandante!$L$4)), 1, 0)</f>
        <v>1</v>
      </c>
      <c r="AN116">
        <f>IF(AH116=1, COUNTIF(AH$2:AH116, 1), "")</f>
        <v>6</v>
      </c>
      <c r="AO116" t="str">
        <f>IF(AJ116=1, COUNTIF(AJ$2:AJ116, 1), "")</f>
        <v/>
      </c>
      <c r="AP116">
        <f>IF(AK116=1, COUNTIF(AK$2:AK116, 1), "")</f>
        <v>6</v>
      </c>
    </row>
    <row r="117" spans="1:42" x14ac:dyDescent="0.25">
      <c r="A117" t="s">
        <v>845</v>
      </c>
      <c r="B117" t="s">
        <v>190</v>
      </c>
      <c r="C117" t="s">
        <v>846</v>
      </c>
      <c r="D117" t="s">
        <v>301</v>
      </c>
      <c r="E117" s="43">
        <v>46253</v>
      </c>
      <c r="F117" s="43">
        <v>46261</v>
      </c>
      <c r="H117" t="s">
        <v>218</v>
      </c>
      <c r="I117" t="s">
        <v>592</v>
      </c>
      <c r="J117" t="s">
        <v>847</v>
      </c>
      <c r="K117" s="43">
        <v>46253</v>
      </c>
      <c r="L117">
        <f t="shared" si="48"/>
        <v>723540</v>
      </c>
      <c r="M117" t="s">
        <v>279</v>
      </c>
      <c r="N117" t="s">
        <v>848</v>
      </c>
      <c r="O117" s="43">
        <v>46254</v>
      </c>
      <c r="P117">
        <f t="shared" si="46"/>
        <v>723540</v>
      </c>
      <c r="Q117" t="s">
        <v>281</v>
      </c>
      <c r="T117">
        <v>0</v>
      </c>
      <c r="U117">
        <v>0</v>
      </c>
      <c r="V117">
        <f t="shared" si="49"/>
        <v>0</v>
      </c>
      <c r="W117" t="str">
        <f t="shared" si="50"/>
        <v>OC Recibida - Pendiente Factura</v>
      </c>
      <c r="X117">
        <f>SUMIFS(Detalle_OT!$I$2:$I$592,Detalle_OT!$B$2:$B$592,A117)</f>
        <v>723540</v>
      </c>
      <c r="Y117">
        <f>SUMIFS(Detalle_OT!$H$2:$H$592,Detalle_OT!$B$2:$B$592,A117,Detalle_OT!$C$2:$C$592,"Repuesto")</f>
        <v>341580</v>
      </c>
      <c r="Z117">
        <f>SUMIFS(Detalle_OT!$H$2:$H$592,Detalle_OT!$B$2:$B$592,A117,Detalle_OT!$C$2:$C$592,"Mano de Obra")</f>
        <v>122100</v>
      </c>
      <c r="AA117">
        <f t="shared" si="51"/>
        <v>259860</v>
      </c>
      <c r="AB117">
        <f t="shared" si="52"/>
        <v>0.35915084169499961</v>
      </c>
      <c r="AC117" t="str">
        <f t="shared" si="53"/>
        <v>Margen No Negativo Confirmado</v>
      </c>
      <c r="AD117" t="str">
        <f t="shared" si="54"/>
        <v>2026-08</v>
      </c>
      <c r="AE117" t="str">
        <f t="shared" si="55"/>
        <v>Semana 34</v>
      </c>
      <c r="AF117" t="str">
        <f t="shared" si="56"/>
        <v/>
      </c>
      <c r="AG117" t="str">
        <f t="shared" si="57"/>
        <v/>
      </c>
      <c r="AH117">
        <f>IF(AND(G117="",OR(I117="En Curso",I117="Reprogramada"),F117&lt;Dashboard!$B$5),1,0)</f>
        <v>1</v>
      </c>
      <c r="AI117">
        <f t="shared" si="58"/>
        <v>0</v>
      </c>
      <c r="AJ117">
        <f t="shared" si="59"/>
        <v>0</v>
      </c>
      <c r="AK117">
        <f>IF(SUMIFS(Detalle_OT!$J$2:$J$592,Detalle_OT!$B$2:$B$592,A117)&gt;0,1,0)</f>
        <v>0</v>
      </c>
      <c r="AL117">
        <f>IF(AND(OR(Dashboard!$D$5="Todos",AD117=Dashboard!$D$5),OR(Dashboard!$F$5="Todos",D117=Dashboard!$F$5),OR(Dashboard!$H$5="Todos",I117=Dashboard!$H$5)),1,0)</f>
        <v>1</v>
      </c>
      <c r="AM117">
        <f>IF(AND(OR(Control_Mandante!$C$4="Todos", AD117=Control_Mandante!$C$4), OR(Control_Mandante!$F$4="Todos", B117=Control_Mandante!$F$4), OR(Control_Mandante!$I$4="Todos", W117=Control_Mandante!$I$4), OR(Control_Mandante!$L$4="Todos", H117=Control_Mandante!$L$4)), 1, 0)</f>
        <v>1</v>
      </c>
      <c r="AN117">
        <f>IF(AH117=1, COUNTIF(AH$2:AH117, 1), "")</f>
        <v>7</v>
      </c>
      <c r="AO117" t="str">
        <f>IF(AJ117=1, COUNTIF(AJ$2:AJ117, 1), "")</f>
        <v/>
      </c>
      <c r="AP117" t="str">
        <f>IF(AK117=1, COUNTIF(AK$2:AK117, 1), "")</f>
        <v/>
      </c>
    </row>
    <row r="118" spans="1:42" x14ac:dyDescent="0.25">
      <c r="A118" t="s">
        <v>849</v>
      </c>
      <c r="B118" t="s">
        <v>187</v>
      </c>
      <c r="C118" t="s">
        <v>850</v>
      </c>
      <c r="D118" t="s">
        <v>301</v>
      </c>
      <c r="E118" s="43">
        <v>46253</v>
      </c>
      <c r="F118" s="43">
        <v>46259</v>
      </c>
      <c r="G118" s="43">
        <v>46263</v>
      </c>
      <c r="H118" t="s">
        <v>220</v>
      </c>
      <c r="I118" t="s">
        <v>277</v>
      </c>
      <c r="J118" t="s">
        <v>851</v>
      </c>
      <c r="K118" s="43">
        <v>46253</v>
      </c>
      <c r="L118">
        <f t="shared" si="48"/>
        <v>293700</v>
      </c>
      <c r="M118" t="s">
        <v>279</v>
      </c>
      <c r="N118" t="s">
        <v>852</v>
      </c>
      <c r="O118" s="43">
        <v>46254</v>
      </c>
      <c r="P118">
        <f t="shared" si="46"/>
        <v>293700</v>
      </c>
      <c r="Q118" t="s">
        <v>281</v>
      </c>
      <c r="R118" t="s">
        <v>853</v>
      </c>
      <c r="S118" s="43">
        <v>46265</v>
      </c>
      <c r="T118">
        <f t="shared" ref="T118:T132" si="61">X118</f>
        <v>293700</v>
      </c>
      <c r="U118">
        <f>T118*0.5</f>
        <v>146850</v>
      </c>
      <c r="V118">
        <f t="shared" si="49"/>
        <v>146850</v>
      </c>
      <c r="W118" t="str">
        <f t="shared" si="50"/>
        <v>CUADRADO (3-WAY OK)</v>
      </c>
      <c r="X118">
        <f>SUMIFS(Detalle_OT!$I$2:$I$592,Detalle_OT!$B$2:$B$592,A118)</f>
        <v>293700</v>
      </c>
      <c r="Y118">
        <f>SUMIFS(Detalle_OT!$H$2:$H$592,Detalle_OT!$B$2:$B$592,A118,Detalle_OT!$C$2:$C$592,"Repuesto")</f>
        <v>120950</v>
      </c>
      <c r="Z118">
        <f>SUMIFS(Detalle_OT!$H$2:$H$592,Detalle_OT!$B$2:$B$592,A118,Detalle_OT!$C$2:$C$592,"Mano de Obra")</f>
        <v>77400</v>
      </c>
      <c r="AA118">
        <f t="shared" si="51"/>
        <v>95350</v>
      </c>
      <c r="AB118">
        <f t="shared" si="52"/>
        <v>0.32465100442628531</v>
      </c>
      <c r="AC118" t="str">
        <f t="shared" si="53"/>
        <v>Margen No Negativo Confirmado</v>
      </c>
      <c r="AD118" t="str">
        <f t="shared" si="54"/>
        <v>2026-08</v>
      </c>
      <c r="AE118" t="str">
        <f t="shared" si="55"/>
        <v>Semana 34</v>
      </c>
      <c r="AF118">
        <f t="shared" si="56"/>
        <v>10</v>
      </c>
      <c r="AG118">
        <f t="shared" si="57"/>
        <v>0</v>
      </c>
      <c r="AH118">
        <f>IF(AND(G118="",OR(I118="En Curso",I118="Reprogramada"),F118&lt;Dashboard!$B$5),1,0)</f>
        <v>0</v>
      </c>
      <c r="AI118">
        <f t="shared" si="58"/>
        <v>0</v>
      </c>
      <c r="AJ118">
        <f t="shared" si="59"/>
        <v>0</v>
      </c>
      <c r="AK118">
        <f>IF(SUMIFS(Detalle_OT!$J$2:$J$592,Detalle_OT!$B$2:$B$592,A118)&gt;0,1,0)</f>
        <v>0</v>
      </c>
      <c r="AL118">
        <f>IF(AND(OR(Dashboard!$D$5="Todos",AD118=Dashboard!$D$5),OR(Dashboard!$F$5="Todos",D118=Dashboard!$F$5),OR(Dashboard!$H$5="Todos",I118=Dashboard!$H$5)),1,0)</f>
        <v>1</v>
      </c>
      <c r="AM118">
        <f>IF(AND(OR(Control_Mandante!$C$4="Todos", AD118=Control_Mandante!$C$4), OR(Control_Mandante!$F$4="Todos", B118=Control_Mandante!$F$4), OR(Control_Mandante!$I$4="Todos", W118=Control_Mandante!$I$4), OR(Control_Mandante!$L$4="Todos", H118=Control_Mandante!$L$4)), 1, 0)</f>
        <v>1</v>
      </c>
      <c r="AN118" t="str">
        <f>IF(AH118=1, COUNTIF(AH$2:AH118, 1), "")</f>
        <v/>
      </c>
      <c r="AO118" t="str">
        <f>IF(AJ118=1, COUNTIF(AJ$2:AJ118, 1), "")</f>
        <v/>
      </c>
      <c r="AP118" t="str">
        <f>IF(AK118=1, COUNTIF(AK$2:AK118, 1), "")</f>
        <v/>
      </c>
    </row>
    <row r="119" spans="1:42" x14ac:dyDescent="0.25">
      <c r="A119" t="s">
        <v>854</v>
      </c>
      <c r="B119" t="s">
        <v>200</v>
      </c>
      <c r="C119" t="s">
        <v>855</v>
      </c>
      <c r="D119" t="s">
        <v>301</v>
      </c>
      <c r="E119" s="43">
        <v>46255</v>
      </c>
      <c r="F119" s="43">
        <v>46259</v>
      </c>
      <c r="G119" s="43">
        <v>46262</v>
      </c>
      <c r="H119" t="s">
        <v>220</v>
      </c>
      <c r="I119" t="s">
        <v>277</v>
      </c>
      <c r="J119" t="s">
        <v>856</v>
      </c>
      <c r="K119" s="43">
        <v>46255</v>
      </c>
      <c r="L119">
        <f t="shared" si="48"/>
        <v>693280</v>
      </c>
      <c r="M119" t="s">
        <v>279</v>
      </c>
      <c r="N119" t="s">
        <v>857</v>
      </c>
      <c r="O119" s="43">
        <v>46256</v>
      </c>
      <c r="P119">
        <f t="shared" si="46"/>
        <v>693280</v>
      </c>
      <c r="Q119" t="s">
        <v>281</v>
      </c>
      <c r="R119" t="s">
        <v>858</v>
      </c>
      <c r="S119" s="43">
        <v>46264</v>
      </c>
      <c r="T119">
        <f t="shared" si="61"/>
        <v>693280</v>
      </c>
      <c r="U119">
        <f>T119</f>
        <v>693280</v>
      </c>
      <c r="V119">
        <f t="shared" si="49"/>
        <v>0</v>
      </c>
      <c r="W119" t="str">
        <f t="shared" si="50"/>
        <v>CUADRADO (3-WAY OK)</v>
      </c>
      <c r="X119">
        <f>SUMIFS(Detalle_OT!$I$2:$I$592,Detalle_OT!$B$2:$B$592,A119)</f>
        <v>693280</v>
      </c>
      <c r="Y119">
        <f>SUMIFS(Detalle_OT!$H$2:$H$592,Detalle_OT!$B$2:$B$592,A119,Detalle_OT!$C$2:$C$592,"Repuesto")</f>
        <v>255100</v>
      </c>
      <c r="Z119">
        <f>SUMIFS(Detalle_OT!$H$2:$H$592,Detalle_OT!$B$2:$B$592,A119,Detalle_OT!$C$2:$C$592,"Mano de Obra")</f>
        <v>169400</v>
      </c>
      <c r="AA119">
        <f t="shared" si="51"/>
        <v>268780</v>
      </c>
      <c r="AB119">
        <f t="shared" si="52"/>
        <v>0.38769328409877685</v>
      </c>
      <c r="AC119" t="str">
        <f t="shared" si="53"/>
        <v>Margen No Negativo Confirmado</v>
      </c>
      <c r="AD119" t="str">
        <f t="shared" si="54"/>
        <v>2026-08</v>
      </c>
      <c r="AE119" t="str">
        <f t="shared" si="55"/>
        <v>Semana 34</v>
      </c>
      <c r="AF119">
        <f t="shared" si="56"/>
        <v>7</v>
      </c>
      <c r="AG119">
        <f t="shared" si="57"/>
        <v>0</v>
      </c>
      <c r="AH119">
        <f>IF(AND(G119="",OR(I119="En Curso",I119="Reprogramada"),F119&lt;Dashboard!$B$5),1,0)</f>
        <v>0</v>
      </c>
      <c r="AI119">
        <f t="shared" si="58"/>
        <v>0</v>
      </c>
      <c r="AJ119">
        <f t="shared" si="59"/>
        <v>0</v>
      </c>
      <c r="AK119">
        <f>IF(SUMIFS(Detalle_OT!$J$2:$J$592,Detalle_OT!$B$2:$B$592,A119)&gt;0,1,0)</f>
        <v>0</v>
      </c>
      <c r="AL119">
        <f>IF(AND(OR(Dashboard!$D$5="Todos",AD119=Dashboard!$D$5),OR(Dashboard!$F$5="Todos",D119=Dashboard!$F$5),OR(Dashboard!$H$5="Todos",I119=Dashboard!$H$5)),1,0)</f>
        <v>1</v>
      </c>
      <c r="AM119">
        <f>IF(AND(OR(Control_Mandante!$C$4="Todos", AD119=Control_Mandante!$C$4), OR(Control_Mandante!$F$4="Todos", B119=Control_Mandante!$F$4), OR(Control_Mandante!$I$4="Todos", W119=Control_Mandante!$I$4), OR(Control_Mandante!$L$4="Todos", H119=Control_Mandante!$L$4)), 1, 0)</f>
        <v>1</v>
      </c>
      <c r="AN119" t="str">
        <f>IF(AH119=1, COUNTIF(AH$2:AH119, 1), "")</f>
        <v/>
      </c>
      <c r="AO119" t="str">
        <f>IF(AJ119=1, COUNTIF(AJ$2:AJ119, 1), "")</f>
        <v/>
      </c>
      <c r="AP119" t="str">
        <f>IF(AK119=1, COUNTIF(AK$2:AK119, 1), "")</f>
        <v/>
      </c>
    </row>
    <row r="120" spans="1:42" x14ac:dyDescent="0.25">
      <c r="A120" t="s">
        <v>859</v>
      </c>
      <c r="B120" t="s">
        <v>155</v>
      </c>
      <c r="C120" t="s">
        <v>860</v>
      </c>
      <c r="D120" t="s">
        <v>301</v>
      </c>
      <c r="E120" s="43">
        <v>46258</v>
      </c>
      <c r="F120" s="43">
        <v>46265</v>
      </c>
      <c r="G120" s="43">
        <v>46265</v>
      </c>
      <c r="H120" t="s">
        <v>218</v>
      </c>
      <c r="I120" t="s">
        <v>277</v>
      </c>
      <c r="J120" t="s">
        <v>861</v>
      </c>
      <c r="K120" s="43">
        <v>46258</v>
      </c>
      <c r="L120">
        <f t="shared" si="48"/>
        <v>487880</v>
      </c>
      <c r="M120" t="s">
        <v>279</v>
      </c>
      <c r="N120" t="s">
        <v>862</v>
      </c>
      <c r="O120" s="43">
        <v>46259</v>
      </c>
      <c r="P120">
        <f t="shared" ref="P120:P132" si="62">X120</f>
        <v>487880</v>
      </c>
      <c r="Q120" t="s">
        <v>281</v>
      </c>
      <c r="R120" t="s">
        <v>863</v>
      </c>
      <c r="S120" s="43">
        <v>46267</v>
      </c>
      <c r="T120">
        <f t="shared" si="61"/>
        <v>487880</v>
      </c>
      <c r="U120">
        <f>T120</f>
        <v>487880</v>
      </c>
      <c r="V120">
        <f t="shared" si="49"/>
        <v>0</v>
      </c>
      <c r="W120" t="str">
        <f t="shared" si="50"/>
        <v>CUADRADO (3-WAY OK)</v>
      </c>
      <c r="X120">
        <f>SUMIFS(Detalle_OT!$I$2:$I$592,Detalle_OT!$B$2:$B$592,A120)</f>
        <v>487880</v>
      </c>
      <c r="Y120">
        <f>SUMIFS(Detalle_OT!$H$2:$H$592,Detalle_OT!$B$2:$B$592,A120,Detalle_OT!$C$2:$C$592,"Repuesto")</f>
        <v>120190</v>
      </c>
      <c r="Z120">
        <f>SUMIFS(Detalle_OT!$H$2:$H$592,Detalle_OT!$B$2:$B$592,A120,Detalle_OT!$C$2:$C$592,"Mano de Obra")</f>
        <v>161000</v>
      </c>
      <c r="AA120">
        <f t="shared" si="51"/>
        <v>206690</v>
      </c>
      <c r="AB120">
        <f t="shared" si="52"/>
        <v>0.42364925801426578</v>
      </c>
      <c r="AC120" t="str">
        <f t="shared" si="53"/>
        <v>Margen No Negativo Confirmado</v>
      </c>
      <c r="AD120" t="str">
        <f t="shared" si="54"/>
        <v>2026-08</v>
      </c>
      <c r="AE120" t="str">
        <f t="shared" si="55"/>
        <v>Semana 35</v>
      </c>
      <c r="AF120">
        <f t="shared" si="56"/>
        <v>7</v>
      </c>
      <c r="AG120">
        <f t="shared" si="57"/>
        <v>1</v>
      </c>
      <c r="AH120">
        <f>IF(AND(G120="",OR(I120="En Curso",I120="Reprogramada"),F120&lt;Dashboard!$B$5),1,0)</f>
        <v>0</v>
      </c>
      <c r="AI120">
        <f t="shared" si="58"/>
        <v>0</v>
      </c>
      <c r="AJ120">
        <f t="shared" si="59"/>
        <v>0</v>
      </c>
      <c r="AK120">
        <f>IF(SUMIFS(Detalle_OT!$J$2:$J$592,Detalle_OT!$B$2:$B$592,A120)&gt;0,1,0)</f>
        <v>0</v>
      </c>
      <c r="AL120">
        <f>IF(AND(OR(Dashboard!$D$5="Todos",AD120=Dashboard!$D$5),OR(Dashboard!$F$5="Todos",D120=Dashboard!$F$5),OR(Dashboard!$H$5="Todos",I120=Dashboard!$H$5)),1,0)</f>
        <v>1</v>
      </c>
      <c r="AM120">
        <f>IF(AND(OR(Control_Mandante!$C$4="Todos", AD120=Control_Mandante!$C$4), OR(Control_Mandante!$F$4="Todos", B120=Control_Mandante!$F$4), OR(Control_Mandante!$I$4="Todos", W120=Control_Mandante!$I$4), OR(Control_Mandante!$L$4="Todos", H120=Control_Mandante!$L$4)), 1, 0)</f>
        <v>1</v>
      </c>
      <c r="AN120" t="str">
        <f>IF(AH120=1, COUNTIF(AH$2:AH120, 1), "")</f>
        <v/>
      </c>
      <c r="AO120" t="str">
        <f>IF(AJ120=1, COUNTIF(AJ$2:AJ120, 1), "")</f>
        <v/>
      </c>
      <c r="AP120" t="str">
        <f>IF(AK120=1, COUNTIF(AK$2:AK120, 1), "")</f>
        <v/>
      </c>
    </row>
    <row r="121" spans="1:42" x14ac:dyDescent="0.25">
      <c r="A121" t="s">
        <v>864</v>
      </c>
      <c r="B121" t="s">
        <v>190</v>
      </c>
      <c r="C121" t="s">
        <v>865</v>
      </c>
      <c r="D121" t="s">
        <v>276</v>
      </c>
      <c r="E121" s="43">
        <v>46260</v>
      </c>
      <c r="F121" s="43">
        <v>46263</v>
      </c>
      <c r="G121" s="43">
        <v>46263</v>
      </c>
      <c r="H121" t="s">
        <v>232</v>
      </c>
      <c r="I121" t="s">
        <v>277</v>
      </c>
      <c r="J121" t="s">
        <v>866</v>
      </c>
      <c r="K121" s="43">
        <v>46260</v>
      </c>
      <c r="L121">
        <f t="shared" si="48"/>
        <v>348070</v>
      </c>
      <c r="M121" t="s">
        <v>279</v>
      </c>
      <c r="N121" t="s">
        <v>867</v>
      </c>
      <c r="O121" s="43">
        <v>46261</v>
      </c>
      <c r="P121">
        <f t="shared" si="62"/>
        <v>348070</v>
      </c>
      <c r="Q121" t="s">
        <v>281</v>
      </c>
      <c r="R121" t="s">
        <v>868</v>
      </c>
      <c r="S121" s="43">
        <v>46265</v>
      </c>
      <c r="T121">
        <f t="shared" si="61"/>
        <v>348070</v>
      </c>
      <c r="U121">
        <f>T121*0.5</f>
        <v>174035</v>
      </c>
      <c r="V121">
        <f t="shared" si="49"/>
        <v>174035</v>
      </c>
      <c r="W121" t="str">
        <f t="shared" si="50"/>
        <v>CUADRADO (3-WAY OK)</v>
      </c>
      <c r="X121">
        <f>SUMIFS(Detalle_OT!$I$2:$I$592,Detalle_OT!$B$2:$B$592,A121)</f>
        <v>348070</v>
      </c>
      <c r="Y121">
        <f>SUMIFS(Detalle_OT!$H$2:$H$592,Detalle_OT!$B$2:$B$592,A121,Detalle_OT!$C$2:$C$592,"Repuesto")</f>
        <v>105640</v>
      </c>
      <c r="Z121">
        <f>SUMIFS(Detalle_OT!$H$2:$H$592,Detalle_OT!$B$2:$B$592,A121,Detalle_OT!$C$2:$C$592,"Mano de Obra")</f>
        <v>109000</v>
      </c>
      <c r="AA121">
        <f t="shared" si="51"/>
        <v>133430</v>
      </c>
      <c r="AB121">
        <f t="shared" si="52"/>
        <v>0.38334243112017696</v>
      </c>
      <c r="AC121" t="str">
        <f t="shared" si="53"/>
        <v>Margen No Negativo Confirmado</v>
      </c>
      <c r="AD121" t="str">
        <f t="shared" si="54"/>
        <v>2026-08</v>
      </c>
      <c r="AE121" t="str">
        <f t="shared" si="55"/>
        <v>Semana 35</v>
      </c>
      <c r="AF121">
        <f t="shared" si="56"/>
        <v>3</v>
      </c>
      <c r="AG121">
        <f t="shared" si="57"/>
        <v>1</v>
      </c>
      <c r="AH121">
        <f>IF(AND(G121="",OR(I121="En Curso",I121="Reprogramada"),F121&lt;Dashboard!$B$5),1,0)</f>
        <v>0</v>
      </c>
      <c r="AI121">
        <f t="shared" si="58"/>
        <v>0</v>
      </c>
      <c r="AJ121">
        <f t="shared" si="59"/>
        <v>0</v>
      </c>
      <c r="AK121">
        <f>IF(SUMIFS(Detalle_OT!$J$2:$J$592,Detalle_OT!$B$2:$B$592,A121)&gt;0,1,0)</f>
        <v>0</v>
      </c>
      <c r="AL121">
        <f>IF(AND(OR(Dashboard!$D$5="Todos",AD121=Dashboard!$D$5),OR(Dashboard!$F$5="Todos",D121=Dashboard!$F$5),OR(Dashboard!$H$5="Todos",I121=Dashboard!$H$5)),1,0)</f>
        <v>1</v>
      </c>
      <c r="AM121">
        <f>IF(AND(OR(Control_Mandante!$C$4="Todos", AD121=Control_Mandante!$C$4), OR(Control_Mandante!$F$4="Todos", B121=Control_Mandante!$F$4), OR(Control_Mandante!$I$4="Todos", W121=Control_Mandante!$I$4), OR(Control_Mandante!$L$4="Todos", H121=Control_Mandante!$L$4)), 1, 0)</f>
        <v>1</v>
      </c>
      <c r="AN121" t="str">
        <f>IF(AH121=1, COUNTIF(AH$2:AH121, 1), "")</f>
        <v/>
      </c>
      <c r="AO121" t="str">
        <f>IF(AJ121=1, COUNTIF(AJ$2:AJ121, 1), "")</f>
        <v/>
      </c>
      <c r="AP121" t="str">
        <f>IF(AK121=1, COUNTIF(AK$2:AK121, 1), "")</f>
        <v/>
      </c>
    </row>
    <row r="122" spans="1:42" x14ac:dyDescent="0.25">
      <c r="A122" t="s">
        <v>869</v>
      </c>
      <c r="B122" t="s">
        <v>193</v>
      </c>
      <c r="C122" t="s">
        <v>870</v>
      </c>
      <c r="D122" t="s">
        <v>276</v>
      </c>
      <c r="E122" s="43">
        <v>46260</v>
      </c>
      <c r="F122" s="43">
        <v>46262</v>
      </c>
      <c r="G122" s="43">
        <v>46268</v>
      </c>
      <c r="H122" t="s">
        <v>218</v>
      </c>
      <c r="I122" t="s">
        <v>277</v>
      </c>
      <c r="J122" t="s">
        <v>871</v>
      </c>
      <c r="K122" s="43">
        <v>46260</v>
      </c>
      <c r="L122">
        <f t="shared" si="48"/>
        <v>255700</v>
      </c>
      <c r="M122" t="s">
        <v>279</v>
      </c>
      <c r="N122" t="s">
        <v>872</v>
      </c>
      <c r="O122" s="43">
        <v>46261</v>
      </c>
      <c r="P122">
        <f t="shared" si="62"/>
        <v>255700</v>
      </c>
      <c r="Q122" t="s">
        <v>281</v>
      </c>
      <c r="R122" t="s">
        <v>873</v>
      </c>
      <c r="S122" s="43">
        <v>46270</v>
      </c>
      <c r="T122">
        <f t="shared" si="61"/>
        <v>255700</v>
      </c>
      <c r="U122">
        <f>T122</f>
        <v>255700</v>
      </c>
      <c r="V122">
        <f t="shared" si="49"/>
        <v>0</v>
      </c>
      <c r="W122" t="str">
        <f t="shared" si="50"/>
        <v>CUADRADO (3-WAY OK)</v>
      </c>
      <c r="X122">
        <f>SUMIFS(Detalle_OT!$I$2:$I$592,Detalle_OT!$B$2:$B$592,A122)</f>
        <v>255700</v>
      </c>
      <c r="Y122">
        <f>SUMIFS(Detalle_OT!$H$2:$H$592,Detalle_OT!$B$2:$B$592,A122,Detalle_OT!$C$2:$C$592,"Repuesto")</f>
        <v>105280</v>
      </c>
      <c r="Z122">
        <f>SUMIFS(Detalle_OT!$H$2:$H$592,Detalle_OT!$B$2:$B$592,A122,Detalle_OT!$C$2:$C$592,"Mano de Obra")</f>
        <v>64500</v>
      </c>
      <c r="AA122">
        <f t="shared" si="51"/>
        <v>85920</v>
      </c>
      <c r="AB122">
        <f t="shared" si="52"/>
        <v>0.33601877199843566</v>
      </c>
      <c r="AC122" t="str">
        <f t="shared" si="53"/>
        <v>Margen No Negativo Confirmado</v>
      </c>
      <c r="AD122" t="str">
        <f t="shared" si="54"/>
        <v>2026-08</v>
      </c>
      <c r="AE122" t="str">
        <f t="shared" si="55"/>
        <v>Semana 35</v>
      </c>
      <c r="AF122">
        <f t="shared" si="56"/>
        <v>8</v>
      </c>
      <c r="AG122">
        <f t="shared" si="57"/>
        <v>0</v>
      </c>
      <c r="AH122">
        <f>IF(AND(G122="",OR(I122="En Curso",I122="Reprogramada"),F122&lt;Dashboard!$B$5),1,0)</f>
        <v>0</v>
      </c>
      <c r="AI122">
        <f t="shared" si="58"/>
        <v>0</v>
      </c>
      <c r="AJ122">
        <f t="shared" si="59"/>
        <v>0</v>
      </c>
      <c r="AK122">
        <f>IF(SUMIFS(Detalle_OT!$J$2:$J$592,Detalle_OT!$B$2:$B$592,A122)&gt;0,1,0)</f>
        <v>0</v>
      </c>
      <c r="AL122">
        <f>IF(AND(OR(Dashboard!$D$5="Todos",AD122=Dashboard!$D$5),OR(Dashboard!$F$5="Todos",D122=Dashboard!$F$5),OR(Dashboard!$H$5="Todos",I122=Dashboard!$H$5)),1,0)</f>
        <v>1</v>
      </c>
      <c r="AM122">
        <f>IF(AND(OR(Control_Mandante!$C$4="Todos", AD122=Control_Mandante!$C$4), OR(Control_Mandante!$F$4="Todos", B122=Control_Mandante!$F$4), OR(Control_Mandante!$I$4="Todos", W122=Control_Mandante!$I$4), OR(Control_Mandante!$L$4="Todos", H122=Control_Mandante!$L$4)), 1, 0)</f>
        <v>1</v>
      </c>
      <c r="AN122" t="str">
        <f>IF(AH122=1, COUNTIF(AH$2:AH122, 1), "")</f>
        <v/>
      </c>
      <c r="AO122" t="str">
        <f>IF(AJ122=1, COUNTIF(AJ$2:AJ122, 1), "")</f>
        <v/>
      </c>
      <c r="AP122" t="str">
        <f>IF(AK122=1, COUNTIF(AK$2:AK122, 1), "")</f>
        <v/>
      </c>
    </row>
    <row r="123" spans="1:42" x14ac:dyDescent="0.25">
      <c r="A123" t="s">
        <v>874</v>
      </c>
      <c r="B123" t="s">
        <v>180</v>
      </c>
      <c r="C123" t="s">
        <v>875</v>
      </c>
      <c r="D123" t="s">
        <v>301</v>
      </c>
      <c r="E123" s="43">
        <v>46260</v>
      </c>
      <c r="F123" s="43">
        <v>46264</v>
      </c>
      <c r="G123" s="43">
        <v>46262</v>
      </c>
      <c r="H123" t="s">
        <v>218</v>
      </c>
      <c r="I123" t="s">
        <v>290</v>
      </c>
      <c r="J123" t="s">
        <v>876</v>
      </c>
      <c r="K123" s="43">
        <v>46260</v>
      </c>
      <c r="L123">
        <f t="shared" si="48"/>
        <v>519950</v>
      </c>
      <c r="M123" t="s">
        <v>279</v>
      </c>
      <c r="N123" t="s">
        <v>877</v>
      </c>
      <c r="O123" s="43">
        <v>46261</v>
      </c>
      <c r="P123">
        <f t="shared" si="62"/>
        <v>519950</v>
      </c>
      <c r="Q123" t="s">
        <v>281</v>
      </c>
      <c r="R123" t="s">
        <v>878</v>
      </c>
      <c r="S123" s="43">
        <v>46263</v>
      </c>
      <c r="T123">
        <f t="shared" si="61"/>
        <v>519950</v>
      </c>
      <c r="U123">
        <v>0</v>
      </c>
      <c r="V123">
        <f t="shared" si="49"/>
        <v>519950</v>
      </c>
      <c r="W123" t="str">
        <f t="shared" si="50"/>
        <v>CUADRADO (3-WAY OK)</v>
      </c>
      <c r="X123">
        <f>SUMIFS(Detalle_OT!$I$2:$I$592,Detalle_OT!$B$2:$B$592,A123)</f>
        <v>519950</v>
      </c>
      <c r="Y123">
        <f>SUMIFS(Detalle_OT!$H$2:$H$592,Detalle_OT!$B$2:$B$592,A123,Detalle_OT!$C$2:$C$592,"Repuesto")</f>
        <v>69300</v>
      </c>
      <c r="Z123">
        <f>SUMIFS(Detalle_OT!$H$2:$H$592,Detalle_OT!$B$2:$B$592,A123,Detalle_OT!$C$2:$C$592,"Mano de Obra")</f>
        <v>238300</v>
      </c>
      <c r="AA123">
        <f t="shared" si="51"/>
        <v>212350</v>
      </c>
      <c r="AB123">
        <f t="shared" si="52"/>
        <v>0.40840465429368211</v>
      </c>
      <c r="AC123" t="str">
        <f t="shared" si="53"/>
        <v>Margen No Negativo Confirmado</v>
      </c>
      <c r="AD123" t="str">
        <f t="shared" si="54"/>
        <v>2026-08</v>
      </c>
      <c r="AE123" t="str">
        <f t="shared" si="55"/>
        <v>Semana 35</v>
      </c>
      <c r="AF123">
        <f t="shared" si="56"/>
        <v>2</v>
      </c>
      <c r="AG123">
        <f t="shared" si="57"/>
        <v>1</v>
      </c>
      <c r="AH123">
        <f>IF(AND(G123="",OR(I123="En Curso",I123="Reprogramada"),F123&lt;Dashboard!$B$5),1,0)</f>
        <v>0</v>
      </c>
      <c r="AI123">
        <f t="shared" si="58"/>
        <v>0</v>
      </c>
      <c r="AJ123">
        <f t="shared" si="59"/>
        <v>0</v>
      </c>
      <c r="AK123">
        <f>IF(SUMIFS(Detalle_OT!$J$2:$J$592,Detalle_OT!$B$2:$B$592,A123)&gt;0,1,0)</f>
        <v>0</v>
      </c>
      <c r="AL123">
        <f>IF(AND(OR(Dashboard!$D$5="Todos",AD123=Dashboard!$D$5),OR(Dashboard!$F$5="Todos",D123=Dashboard!$F$5),OR(Dashboard!$H$5="Todos",I123=Dashboard!$H$5)),1,0)</f>
        <v>1</v>
      </c>
      <c r="AM123">
        <f>IF(AND(OR(Control_Mandante!$C$4="Todos", AD123=Control_Mandante!$C$4), OR(Control_Mandante!$F$4="Todos", B123=Control_Mandante!$F$4), OR(Control_Mandante!$I$4="Todos", W123=Control_Mandante!$I$4), OR(Control_Mandante!$L$4="Todos", H123=Control_Mandante!$L$4)), 1, 0)</f>
        <v>1</v>
      </c>
      <c r="AN123" t="str">
        <f>IF(AH123=1, COUNTIF(AH$2:AH123, 1), "")</f>
        <v/>
      </c>
      <c r="AO123" t="str">
        <f>IF(AJ123=1, COUNTIF(AJ$2:AJ123, 1), "")</f>
        <v/>
      </c>
      <c r="AP123" t="str">
        <f>IF(AK123=1, COUNTIF(AK$2:AK123, 1), "")</f>
        <v/>
      </c>
    </row>
    <row r="124" spans="1:42" x14ac:dyDescent="0.25">
      <c r="A124" t="s">
        <v>879</v>
      </c>
      <c r="B124" t="s">
        <v>168</v>
      </c>
      <c r="C124" t="s">
        <v>880</v>
      </c>
      <c r="D124" t="s">
        <v>295</v>
      </c>
      <c r="E124" s="43">
        <v>46262</v>
      </c>
      <c r="F124" s="43">
        <v>46276</v>
      </c>
      <c r="G124" s="43">
        <v>46282</v>
      </c>
      <c r="H124" t="s">
        <v>222</v>
      </c>
      <c r="I124" t="s">
        <v>277</v>
      </c>
      <c r="J124" t="s">
        <v>881</v>
      </c>
      <c r="K124" s="43">
        <v>46262</v>
      </c>
      <c r="L124">
        <f t="shared" si="48"/>
        <v>1273510</v>
      </c>
      <c r="M124" t="s">
        <v>279</v>
      </c>
      <c r="N124" t="s">
        <v>882</v>
      </c>
      <c r="O124" s="43">
        <v>46263</v>
      </c>
      <c r="P124">
        <f t="shared" si="62"/>
        <v>1273510</v>
      </c>
      <c r="Q124" t="s">
        <v>281</v>
      </c>
      <c r="R124" t="s">
        <v>883</v>
      </c>
      <c r="S124" s="43">
        <v>46284</v>
      </c>
      <c r="T124">
        <f t="shared" si="61"/>
        <v>1273510</v>
      </c>
      <c r="U124">
        <f>T124*0.5</f>
        <v>636755</v>
      </c>
      <c r="V124">
        <f t="shared" si="49"/>
        <v>636755</v>
      </c>
      <c r="W124" t="str">
        <f t="shared" si="50"/>
        <v>CUADRADO (3-WAY OK)</v>
      </c>
      <c r="X124">
        <f>SUMIFS(Detalle_OT!$I$2:$I$592,Detalle_OT!$B$2:$B$592,A124)</f>
        <v>1273510</v>
      </c>
      <c r="Y124">
        <f>SUMIFS(Detalle_OT!$H$2:$H$592,Detalle_OT!$B$2:$B$592,A124,Detalle_OT!$C$2:$C$592,"Repuesto")</f>
        <v>637290</v>
      </c>
      <c r="Z124">
        <f>SUMIFS(Detalle_OT!$H$2:$H$592,Detalle_OT!$B$2:$B$592,A124,Detalle_OT!$C$2:$C$592,"Mano de Obra")</f>
        <v>222400</v>
      </c>
      <c r="AA124">
        <f t="shared" si="51"/>
        <v>413820</v>
      </c>
      <c r="AB124">
        <f t="shared" si="52"/>
        <v>0.32494444488068408</v>
      </c>
      <c r="AC124" t="str">
        <f t="shared" si="53"/>
        <v>Margen No Negativo Confirmado</v>
      </c>
      <c r="AD124" t="str">
        <f t="shared" si="54"/>
        <v>2026-08</v>
      </c>
      <c r="AE124" t="str">
        <f t="shared" si="55"/>
        <v>Semana 35</v>
      </c>
      <c r="AF124">
        <f t="shared" si="56"/>
        <v>20</v>
      </c>
      <c r="AG124">
        <f t="shared" si="57"/>
        <v>0</v>
      </c>
      <c r="AH124">
        <f>IF(AND(G124="",OR(I124="En Curso",I124="Reprogramada"),F124&lt;Dashboard!$B$5),1,0)</f>
        <v>0</v>
      </c>
      <c r="AI124">
        <f t="shared" si="58"/>
        <v>0</v>
      </c>
      <c r="AJ124">
        <f t="shared" si="59"/>
        <v>0</v>
      </c>
      <c r="AK124">
        <f>IF(SUMIFS(Detalle_OT!$J$2:$J$592,Detalle_OT!$B$2:$B$592,A124)&gt;0,1,0)</f>
        <v>0</v>
      </c>
      <c r="AL124">
        <f>IF(AND(OR(Dashboard!$D$5="Todos",AD124=Dashboard!$D$5),OR(Dashboard!$F$5="Todos",D124=Dashboard!$F$5),OR(Dashboard!$H$5="Todos",I124=Dashboard!$H$5)),1,0)</f>
        <v>1</v>
      </c>
      <c r="AM124">
        <f>IF(AND(OR(Control_Mandante!$C$4="Todos", AD124=Control_Mandante!$C$4), OR(Control_Mandante!$F$4="Todos", B124=Control_Mandante!$F$4), OR(Control_Mandante!$I$4="Todos", W124=Control_Mandante!$I$4), OR(Control_Mandante!$L$4="Todos", H124=Control_Mandante!$L$4)), 1, 0)</f>
        <v>1</v>
      </c>
      <c r="AN124" t="str">
        <f>IF(AH124=1, COUNTIF(AH$2:AH124, 1), "")</f>
        <v/>
      </c>
      <c r="AO124" t="str">
        <f>IF(AJ124=1, COUNTIF(AJ$2:AJ124, 1), "")</f>
        <v/>
      </c>
      <c r="AP124" t="str">
        <f>IF(AK124=1, COUNTIF(AK$2:AK124, 1), "")</f>
        <v/>
      </c>
    </row>
    <row r="125" spans="1:42" x14ac:dyDescent="0.25">
      <c r="A125" t="s">
        <v>884</v>
      </c>
      <c r="B125" t="s">
        <v>196</v>
      </c>
      <c r="C125" t="s">
        <v>885</v>
      </c>
      <c r="D125" t="s">
        <v>276</v>
      </c>
      <c r="E125" s="43">
        <v>46262</v>
      </c>
      <c r="F125" s="43">
        <v>46264</v>
      </c>
      <c r="G125" s="43">
        <v>46262</v>
      </c>
      <c r="H125" t="s">
        <v>218</v>
      </c>
      <c r="I125" t="s">
        <v>277</v>
      </c>
      <c r="J125" t="s">
        <v>886</v>
      </c>
      <c r="K125" s="43">
        <v>46262</v>
      </c>
      <c r="L125">
        <f t="shared" si="48"/>
        <v>490360</v>
      </c>
      <c r="M125" t="s">
        <v>279</v>
      </c>
      <c r="N125" t="s">
        <v>887</v>
      </c>
      <c r="O125" s="43">
        <v>46263</v>
      </c>
      <c r="P125">
        <f t="shared" si="62"/>
        <v>490360</v>
      </c>
      <c r="Q125" t="s">
        <v>281</v>
      </c>
      <c r="R125" t="s">
        <v>888</v>
      </c>
      <c r="S125" s="43">
        <v>46264</v>
      </c>
      <c r="T125">
        <f t="shared" si="61"/>
        <v>490360</v>
      </c>
      <c r="U125">
        <f>T125</f>
        <v>490360</v>
      </c>
      <c r="V125">
        <f t="shared" si="49"/>
        <v>0</v>
      </c>
      <c r="W125" t="str">
        <f t="shared" si="50"/>
        <v>CUADRADO (3-WAY OK)</v>
      </c>
      <c r="X125">
        <f>SUMIFS(Detalle_OT!$I$2:$I$592,Detalle_OT!$B$2:$B$592,A125)</f>
        <v>490360</v>
      </c>
      <c r="Y125">
        <f>SUMIFS(Detalle_OT!$H$2:$H$592,Detalle_OT!$B$2:$B$592,A125,Detalle_OT!$C$2:$C$592,"Repuesto")</f>
        <v>234470</v>
      </c>
      <c r="Z125">
        <f>SUMIFS(Detalle_OT!$H$2:$H$592,Detalle_OT!$B$2:$B$592,A125,Detalle_OT!$C$2:$C$592,"Mano de Obra")</f>
        <v>110400</v>
      </c>
      <c r="AA125">
        <f t="shared" si="51"/>
        <v>145490</v>
      </c>
      <c r="AB125">
        <f t="shared" si="52"/>
        <v>0.29670038339179378</v>
      </c>
      <c r="AC125" t="str">
        <f t="shared" si="53"/>
        <v>Margen No Negativo Confirmado</v>
      </c>
      <c r="AD125" t="str">
        <f t="shared" si="54"/>
        <v>2026-08</v>
      </c>
      <c r="AE125" t="str">
        <f t="shared" si="55"/>
        <v>Semana 35</v>
      </c>
      <c r="AF125">
        <f t="shared" si="56"/>
        <v>0</v>
      </c>
      <c r="AG125">
        <f t="shared" si="57"/>
        <v>1</v>
      </c>
      <c r="AH125">
        <f>IF(AND(G125="",OR(I125="En Curso",I125="Reprogramada"),F125&lt;Dashboard!$B$5),1,0)</f>
        <v>0</v>
      </c>
      <c r="AI125">
        <f t="shared" si="58"/>
        <v>0</v>
      </c>
      <c r="AJ125">
        <f t="shared" si="59"/>
        <v>0</v>
      </c>
      <c r="AK125">
        <f>IF(SUMIFS(Detalle_OT!$J$2:$J$592,Detalle_OT!$B$2:$B$592,A125)&gt;0,1,0)</f>
        <v>0</v>
      </c>
      <c r="AL125">
        <f>IF(AND(OR(Dashboard!$D$5="Todos",AD125=Dashboard!$D$5),OR(Dashboard!$F$5="Todos",D125=Dashboard!$F$5),OR(Dashboard!$H$5="Todos",I125=Dashboard!$H$5)),1,0)</f>
        <v>1</v>
      </c>
      <c r="AM125">
        <f>IF(AND(OR(Control_Mandante!$C$4="Todos", AD125=Control_Mandante!$C$4), OR(Control_Mandante!$F$4="Todos", B125=Control_Mandante!$F$4), OR(Control_Mandante!$I$4="Todos", W125=Control_Mandante!$I$4), OR(Control_Mandante!$L$4="Todos", H125=Control_Mandante!$L$4)), 1, 0)</f>
        <v>1</v>
      </c>
      <c r="AN125" t="str">
        <f>IF(AH125=1, COUNTIF(AH$2:AH125, 1), "")</f>
        <v/>
      </c>
      <c r="AO125" t="str">
        <f>IF(AJ125=1, COUNTIF(AJ$2:AJ125, 1), "")</f>
        <v/>
      </c>
      <c r="AP125" t="str">
        <f>IF(AK125=1, COUNTIF(AK$2:AK125, 1), "")</f>
        <v/>
      </c>
    </row>
    <row r="126" spans="1:42" x14ac:dyDescent="0.25">
      <c r="A126" t="s">
        <v>889</v>
      </c>
      <c r="B126" t="s">
        <v>165</v>
      </c>
      <c r="C126" t="s">
        <v>890</v>
      </c>
      <c r="D126" t="s">
        <v>276</v>
      </c>
      <c r="E126" s="43">
        <v>46263</v>
      </c>
      <c r="F126" s="43">
        <v>46267</v>
      </c>
      <c r="G126" s="43">
        <v>46267</v>
      </c>
      <c r="H126" t="s">
        <v>232</v>
      </c>
      <c r="I126" t="s">
        <v>277</v>
      </c>
      <c r="J126" t="s">
        <v>891</v>
      </c>
      <c r="K126" s="43">
        <v>46263</v>
      </c>
      <c r="L126">
        <f t="shared" si="48"/>
        <v>278950</v>
      </c>
      <c r="M126" t="s">
        <v>279</v>
      </c>
      <c r="N126" t="s">
        <v>892</v>
      </c>
      <c r="O126" s="43">
        <v>46264</v>
      </c>
      <c r="P126">
        <f t="shared" si="62"/>
        <v>278950</v>
      </c>
      <c r="Q126" t="s">
        <v>281</v>
      </c>
      <c r="R126" t="s">
        <v>893</v>
      </c>
      <c r="S126" s="43">
        <v>46269</v>
      </c>
      <c r="T126">
        <f t="shared" si="61"/>
        <v>278950</v>
      </c>
      <c r="U126">
        <f>T126</f>
        <v>278950</v>
      </c>
      <c r="V126">
        <f t="shared" si="49"/>
        <v>0</v>
      </c>
      <c r="W126" t="str">
        <f t="shared" si="50"/>
        <v>CUADRADO (3-WAY OK)</v>
      </c>
      <c r="X126">
        <f>SUMIFS(Detalle_OT!$I$2:$I$592,Detalle_OT!$B$2:$B$592,A126)</f>
        <v>278950</v>
      </c>
      <c r="Y126">
        <f>SUMIFS(Detalle_OT!$H$2:$H$592,Detalle_OT!$B$2:$B$592,A126,Detalle_OT!$C$2:$C$592,"Repuesto")</f>
        <v>46530</v>
      </c>
      <c r="Z126">
        <f>SUMIFS(Detalle_OT!$H$2:$H$592,Detalle_OT!$B$2:$B$592,A126,Detalle_OT!$C$2:$C$592,"Mano de Obra")</f>
        <v>102800</v>
      </c>
      <c r="AA126">
        <f t="shared" si="51"/>
        <v>129620</v>
      </c>
      <c r="AB126">
        <f t="shared" si="52"/>
        <v>0.46467108800860368</v>
      </c>
      <c r="AC126" t="str">
        <f t="shared" si="53"/>
        <v>Margen No Negativo Confirmado</v>
      </c>
      <c r="AD126" t="str">
        <f t="shared" si="54"/>
        <v>2026-08</v>
      </c>
      <c r="AE126" t="str">
        <f t="shared" si="55"/>
        <v>Semana 35</v>
      </c>
      <c r="AF126">
        <f t="shared" si="56"/>
        <v>4</v>
      </c>
      <c r="AG126">
        <f t="shared" si="57"/>
        <v>1</v>
      </c>
      <c r="AH126">
        <f>IF(AND(G126="",OR(I126="En Curso",I126="Reprogramada"),F126&lt;Dashboard!$B$5),1,0)</f>
        <v>0</v>
      </c>
      <c r="AI126">
        <f t="shared" si="58"/>
        <v>0</v>
      </c>
      <c r="AJ126">
        <f t="shared" si="59"/>
        <v>0</v>
      </c>
      <c r="AK126">
        <f>IF(SUMIFS(Detalle_OT!$J$2:$J$592,Detalle_OT!$B$2:$B$592,A126)&gt;0,1,0)</f>
        <v>0</v>
      </c>
      <c r="AL126">
        <f>IF(AND(OR(Dashboard!$D$5="Todos",AD126=Dashboard!$D$5),OR(Dashboard!$F$5="Todos",D126=Dashboard!$F$5),OR(Dashboard!$H$5="Todos",I126=Dashboard!$H$5)),1,0)</f>
        <v>1</v>
      </c>
      <c r="AM126">
        <f>IF(AND(OR(Control_Mandante!$C$4="Todos", AD126=Control_Mandante!$C$4), OR(Control_Mandante!$F$4="Todos", B126=Control_Mandante!$F$4), OR(Control_Mandante!$I$4="Todos", W126=Control_Mandante!$I$4), OR(Control_Mandante!$L$4="Todos", H126=Control_Mandante!$L$4)), 1, 0)</f>
        <v>1</v>
      </c>
      <c r="AN126" t="str">
        <f>IF(AH126=1, COUNTIF(AH$2:AH126, 1), "")</f>
        <v/>
      </c>
      <c r="AO126" t="str">
        <f>IF(AJ126=1, COUNTIF(AJ$2:AJ126, 1), "")</f>
        <v/>
      </c>
      <c r="AP126" t="str">
        <f>IF(AK126=1, COUNTIF(AK$2:AK126, 1), "")</f>
        <v/>
      </c>
    </row>
    <row r="127" spans="1:42" x14ac:dyDescent="0.25">
      <c r="A127" t="s">
        <v>894</v>
      </c>
      <c r="B127" t="s">
        <v>174</v>
      </c>
      <c r="C127" t="s">
        <v>895</v>
      </c>
      <c r="D127" t="s">
        <v>295</v>
      </c>
      <c r="E127" s="43">
        <v>46263</v>
      </c>
      <c r="F127" s="43">
        <v>46273</v>
      </c>
      <c r="G127" s="43">
        <v>46280</v>
      </c>
      <c r="H127" t="s">
        <v>225</v>
      </c>
      <c r="I127" t="s">
        <v>277</v>
      </c>
      <c r="J127" t="s">
        <v>896</v>
      </c>
      <c r="K127" s="43">
        <v>46263</v>
      </c>
      <c r="L127">
        <f t="shared" si="48"/>
        <v>2829850</v>
      </c>
      <c r="M127" t="s">
        <v>279</v>
      </c>
      <c r="N127" t="s">
        <v>897</v>
      </c>
      <c r="O127" s="43">
        <v>46264</v>
      </c>
      <c r="P127">
        <f t="shared" si="62"/>
        <v>2829850</v>
      </c>
      <c r="Q127" t="s">
        <v>281</v>
      </c>
      <c r="R127" t="s">
        <v>898</v>
      </c>
      <c r="S127" s="43">
        <v>46282</v>
      </c>
      <c r="T127">
        <f t="shared" si="61"/>
        <v>2829850</v>
      </c>
      <c r="U127">
        <f>T127*0.5</f>
        <v>1414925</v>
      </c>
      <c r="V127">
        <f t="shared" si="49"/>
        <v>1414925</v>
      </c>
      <c r="W127" t="str">
        <f t="shared" si="50"/>
        <v>CUADRADO (3-WAY OK)</v>
      </c>
      <c r="X127">
        <f>SUMIFS(Detalle_OT!$I$2:$I$592,Detalle_OT!$B$2:$B$592,A127)</f>
        <v>2829850</v>
      </c>
      <c r="Y127">
        <f>SUMIFS(Detalle_OT!$H$2:$H$592,Detalle_OT!$B$2:$B$592,A127,Detalle_OT!$C$2:$C$592,"Repuesto")</f>
        <v>1037200</v>
      </c>
      <c r="Z127">
        <f>SUMIFS(Detalle_OT!$H$2:$H$592,Detalle_OT!$B$2:$B$592,A127,Detalle_OT!$C$2:$C$592,"Mano de Obra")</f>
        <v>686000</v>
      </c>
      <c r="AA127">
        <f t="shared" si="51"/>
        <v>1106650</v>
      </c>
      <c r="AB127">
        <f t="shared" si="52"/>
        <v>0.39106313055462305</v>
      </c>
      <c r="AC127" t="str">
        <f t="shared" si="53"/>
        <v>Margen No Negativo Confirmado</v>
      </c>
      <c r="AD127" t="str">
        <f t="shared" si="54"/>
        <v>2026-08</v>
      </c>
      <c r="AE127" t="str">
        <f t="shared" si="55"/>
        <v>Semana 35</v>
      </c>
      <c r="AF127">
        <f t="shared" si="56"/>
        <v>17</v>
      </c>
      <c r="AG127">
        <f t="shared" si="57"/>
        <v>0</v>
      </c>
      <c r="AH127">
        <f>IF(AND(G127="",OR(I127="En Curso",I127="Reprogramada"),F127&lt;Dashboard!$B$5),1,0)</f>
        <v>0</v>
      </c>
      <c r="AI127">
        <f t="shared" si="58"/>
        <v>0</v>
      </c>
      <c r="AJ127">
        <f t="shared" si="59"/>
        <v>0</v>
      </c>
      <c r="AK127">
        <f>IF(SUMIFS(Detalle_OT!$J$2:$J$592,Detalle_OT!$B$2:$B$592,A127)&gt;0,1,0)</f>
        <v>0</v>
      </c>
      <c r="AL127">
        <f>IF(AND(OR(Dashboard!$D$5="Todos",AD127=Dashboard!$D$5),OR(Dashboard!$F$5="Todos",D127=Dashboard!$F$5),OR(Dashboard!$H$5="Todos",I127=Dashboard!$H$5)),1,0)</f>
        <v>1</v>
      </c>
      <c r="AM127">
        <f>IF(AND(OR(Control_Mandante!$C$4="Todos", AD127=Control_Mandante!$C$4), OR(Control_Mandante!$F$4="Todos", B127=Control_Mandante!$F$4), OR(Control_Mandante!$I$4="Todos", W127=Control_Mandante!$I$4), OR(Control_Mandante!$L$4="Todos", H127=Control_Mandante!$L$4)), 1, 0)</f>
        <v>1</v>
      </c>
      <c r="AN127" t="str">
        <f>IF(AH127=1, COUNTIF(AH$2:AH127, 1), "")</f>
        <v/>
      </c>
      <c r="AO127" t="str">
        <f>IF(AJ127=1, COUNTIF(AJ$2:AJ127, 1), "")</f>
        <v/>
      </c>
      <c r="AP127" t="str">
        <f>IF(AK127=1, COUNTIF(AK$2:AK127, 1), "")</f>
        <v/>
      </c>
    </row>
    <row r="128" spans="1:42" x14ac:dyDescent="0.25">
      <c r="A128" t="s">
        <v>899</v>
      </c>
      <c r="B128" t="s">
        <v>174</v>
      </c>
      <c r="C128" t="s">
        <v>900</v>
      </c>
      <c r="D128" t="s">
        <v>295</v>
      </c>
      <c r="E128" s="43">
        <v>46266</v>
      </c>
      <c r="F128" s="43">
        <v>46277</v>
      </c>
      <c r="G128" s="43">
        <v>46279</v>
      </c>
      <c r="H128" t="s">
        <v>222</v>
      </c>
      <c r="I128" t="s">
        <v>277</v>
      </c>
      <c r="J128" t="s">
        <v>901</v>
      </c>
      <c r="K128" s="43">
        <v>46266</v>
      </c>
      <c r="L128">
        <f t="shared" si="48"/>
        <v>1222290</v>
      </c>
      <c r="M128" t="s">
        <v>279</v>
      </c>
      <c r="N128" t="s">
        <v>902</v>
      </c>
      <c r="O128" s="43">
        <v>46267</v>
      </c>
      <c r="P128">
        <f t="shared" si="62"/>
        <v>1222290</v>
      </c>
      <c r="Q128" t="s">
        <v>281</v>
      </c>
      <c r="R128" t="s">
        <v>903</v>
      </c>
      <c r="S128" s="43">
        <v>46281</v>
      </c>
      <c r="T128">
        <f t="shared" si="61"/>
        <v>1222290</v>
      </c>
      <c r="U128">
        <f>T128</f>
        <v>1222290</v>
      </c>
      <c r="V128">
        <f t="shared" si="49"/>
        <v>0</v>
      </c>
      <c r="W128" t="str">
        <f t="shared" si="50"/>
        <v>CUADRADO (3-WAY OK)</v>
      </c>
      <c r="X128">
        <f>SUMIFS(Detalle_OT!$I$2:$I$592,Detalle_OT!$B$2:$B$592,A128)</f>
        <v>1222290</v>
      </c>
      <c r="Y128">
        <f>SUMIFS(Detalle_OT!$H$2:$H$592,Detalle_OT!$B$2:$B$592,A128,Detalle_OT!$C$2:$C$592,"Repuesto")</f>
        <v>384320</v>
      </c>
      <c r="Z128">
        <f>SUMIFS(Detalle_OT!$H$2:$H$592,Detalle_OT!$B$2:$B$592,A128,Detalle_OT!$C$2:$C$592,"Mano de Obra")</f>
        <v>411600</v>
      </c>
      <c r="AA128">
        <f t="shared" si="51"/>
        <v>426370</v>
      </c>
      <c r="AB128">
        <f t="shared" si="52"/>
        <v>0.34882883767354722</v>
      </c>
      <c r="AC128" t="str">
        <f t="shared" si="53"/>
        <v>Margen No Negativo Confirmado</v>
      </c>
      <c r="AD128" t="str">
        <f t="shared" si="54"/>
        <v>2026-09</v>
      </c>
      <c r="AE128" t="str">
        <f t="shared" si="55"/>
        <v>Semana 36</v>
      </c>
      <c r="AF128">
        <f t="shared" si="56"/>
        <v>13</v>
      </c>
      <c r="AG128">
        <f t="shared" si="57"/>
        <v>0</v>
      </c>
      <c r="AH128">
        <f>IF(AND(G128="",OR(I128="En Curso",I128="Reprogramada"),F128&lt;Dashboard!$B$5),1,0)</f>
        <v>0</v>
      </c>
      <c r="AI128">
        <f t="shared" si="58"/>
        <v>0</v>
      </c>
      <c r="AJ128">
        <f t="shared" si="59"/>
        <v>0</v>
      </c>
      <c r="AK128">
        <f>IF(SUMIFS(Detalle_OT!$J$2:$J$592,Detalle_OT!$B$2:$B$592,A128)&gt;0,1,0)</f>
        <v>0</v>
      </c>
      <c r="AL128">
        <f>IF(AND(OR(Dashboard!$D$5="Todos",AD128=Dashboard!$D$5),OR(Dashboard!$F$5="Todos",D128=Dashboard!$F$5),OR(Dashboard!$H$5="Todos",I128=Dashboard!$H$5)),1,0)</f>
        <v>1</v>
      </c>
      <c r="AM128">
        <f>IF(AND(OR(Control_Mandante!$C$4="Todos", AD128=Control_Mandante!$C$4), OR(Control_Mandante!$F$4="Todos", B128=Control_Mandante!$F$4), OR(Control_Mandante!$I$4="Todos", W128=Control_Mandante!$I$4), OR(Control_Mandante!$L$4="Todos", H128=Control_Mandante!$L$4)), 1, 0)</f>
        <v>1</v>
      </c>
      <c r="AN128" t="str">
        <f>IF(AH128=1, COUNTIF(AH$2:AH128, 1), "")</f>
        <v/>
      </c>
      <c r="AO128" t="str">
        <f>IF(AJ128=1, COUNTIF(AJ$2:AJ128, 1), "")</f>
        <v/>
      </c>
      <c r="AP128" t="str">
        <f>IF(AK128=1, COUNTIF(AK$2:AK128, 1), "")</f>
        <v/>
      </c>
    </row>
    <row r="129" spans="1:42" x14ac:dyDescent="0.25">
      <c r="A129" t="s">
        <v>904</v>
      </c>
      <c r="B129" t="s">
        <v>183</v>
      </c>
      <c r="C129" t="s">
        <v>905</v>
      </c>
      <c r="D129" t="s">
        <v>276</v>
      </c>
      <c r="E129" s="43">
        <v>46266</v>
      </c>
      <c r="F129" s="43">
        <v>46268</v>
      </c>
      <c r="G129" s="43">
        <v>46273</v>
      </c>
      <c r="H129" t="s">
        <v>215</v>
      </c>
      <c r="I129" t="s">
        <v>277</v>
      </c>
      <c r="J129" t="s">
        <v>906</v>
      </c>
      <c r="K129" s="43">
        <v>46266</v>
      </c>
      <c r="L129">
        <f t="shared" si="48"/>
        <v>356140</v>
      </c>
      <c r="M129" t="s">
        <v>279</v>
      </c>
      <c r="N129" t="s">
        <v>907</v>
      </c>
      <c r="O129" s="43">
        <v>46267</v>
      </c>
      <c r="P129">
        <f t="shared" si="62"/>
        <v>356140</v>
      </c>
      <c r="Q129" t="s">
        <v>281</v>
      </c>
      <c r="R129" t="s">
        <v>908</v>
      </c>
      <c r="S129" s="43">
        <v>46275</v>
      </c>
      <c r="T129">
        <f t="shared" si="61"/>
        <v>356140</v>
      </c>
      <c r="U129">
        <f>T129</f>
        <v>356140</v>
      </c>
      <c r="V129">
        <f t="shared" si="49"/>
        <v>0</v>
      </c>
      <c r="W129" t="str">
        <f t="shared" si="50"/>
        <v>CUADRADO (3-WAY OK)</v>
      </c>
      <c r="X129">
        <f>SUMIFS(Detalle_OT!$I$2:$I$592,Detalle_OT!$B$2:$B$592,A129)</f>
        <v>356140</v>
      </c>
      <c r="Y129">
        <f>SUMIFS(Detalle_OT!$H$2:$H$592,Detalle_OT!$B$2:$B$592,A129,Detalle_OT!$C$2:$C$592,"Repuesto")</f>
        <v>163380</v>
      </c>
      <c r="Z129">
        <f>SUMIFS(Detalle_OT!$H$2:$H$592,Detalle_OT!$B$2:$B$592,A129,Detalle_OT!$C$2:$C$592,"Mano de Obra")</f>
        <v>0</v>
      </c>
      <c r="AA129" t="str">
        <f t="shared" si="51"/>
        <v/>
      </c>
      <c r="AB129" t="str">
        <f t="shared" si="52"/>
        <v/>
      </c>
      <c r="AC129" t="str">
        <f t="shared" si="53"/>
        <v>Pendiente de Validación</v>
      </c>
      <c r="AD129" t="str">
        <f t="shared" si="54"/>
        <v>2026-09</v>
      </c>
      <c r="AE129" t="str">
        <f t="shared" si="55"/>
        <v>Semana 36</v>
      </c>
      <c r="AF129">
        <f t="shared" si="56"/>
        <v>7</v>
      </c>
      <c r="AG129">
        <f t="shared" si="57"/>
        <v>0</v>
      </c>
      <c r="AH129">
        <f>IF(AND(G129="",OR(I129="En Curso",I129="Reprogramada"),F129&lt;Dashboard!$B$5),1,0)</f>
        <v>0</v>
      </c>
      <c r="AI129">
        <f t="shared" si="58"/>
        <v>0</v>
      </c>
      <c r="AJ129">
        <f t="shared" si="59"/>
        <v>0</v>
      </c>
      <c r="AK129">
        <f>IF(SUMIFS(Detalle_OT!$J$2:$J$592,Detalle_OT!$B$2:$B$592,A129)&gt;0,1,0)</f>
        <v>1</v>
      </c>
      <c r="AL129">
        <f>IF(AND(OR(Dashboard!$D$5="Todos",AD129=Dashboard!$D$5),OR(Dashboard!$F$5="Todos",D129=Dashboard!$F$5),OR(Dashboard!$H$5="Todos",I129=Dashboard!$H$5)),1,0)</f>
        <v>1</v>
      </c>
      <c r="AM129">
        <f>IF(AND(OR(Control_Mandante!$C$4="Todos", AD129=Control_Mandante!$C$4), OR(Control_Mandante!$F$4="Todos", B129=Control_Mandante!$F$4), OR(Control_Mandante!$I$4="Todos", W129=Control_Mandante!$I$4), OR(Control_Mandante!$L$4="Todos", H129=Control_Mandante!$L$4)), 1, 0)</f>
        <v>1</v>
      </c>
      <c r="AN129" t="str">
        <f>IF(AH129=1, COUNTIF(AH$2:AH129, 1), "")</f>
        <v/>
      </c>
      <c r="AO129" t="str">
        <f>IF(AJ129=1, COUNTIF(AJ$2:AJ129, 1), "")</f>
        <v/>
      </c>
      <c r="AP129">
        <f>IF(AK129=1, COUNTIF(AK$2:AK129, 1), "")</f>
        <v>7</v>
      </c>
    </row>
    <row r="130" spans="1:42" x14ac:dyDescent="0.25">
      <c r="A130" t="s">
        <v>909</v>
      </c>
      <c r="B130" t="s">
        <v>190</v>
      </c>
      <c r="C130" t="s">
        <v>910</v>
      </c>
      <c r="D130" t="s">
        <v>276</v>
      </c>
      <c r="E130" s="43">
        <v>46267</v>
      </c>
      <c r="F130" s="43">
        <v>46271</v>
      </c>
      <c r="G130" s="43">
        <v>46277</v>
      </c>
      <c r="H130" t="s">
        <v>232</v>
      </c>
      <c r="I130" t="s">
        <v>277</v>
      </c>
      <c r="J130" t="s">
        <v>911</v>
      </c>
      <c r="K130" s="43">
        <v>46267</v>
      </c>
      <c r="L130">
        <f t="shared" ref="L130:L161" si="63">X130</f>
        <v>312250</v>
      </c>
      <c r="M130" t="s">
        <v>279</v>
      </c>
      <c r="N130" t="s">
        <v>912</v>
      </c>
      <c r="O130" s="43">
        <v>46268</v>
      </c>
      <c r="P130">
        <f t="shared" si="62"/>
        <v>312250</v>
      </c>
      <c r="Q130" t="s">
        <v>281</v>
      </c>
      <c r="R130" t="s">
        <v>913</v>
      </c>
      <c r="S130" s="43">
        <v>46279</v>
      </c>
      <c r="T130">
        <f t="shared" si="61"/>
        <v>312250</v>
      </c>
      <c r="U130">
        <f>T130*0.5</f>
        <v>156125</v>
      </c>
      <c r="V130">
        <f t="shared" ref="V130:V161" si="64">IF(R130&lt;&gt;"", T130-U130, 0)</f>
        <v>156125</v>
      </c>
      <c r="W130" t="str">
        <f t="shared" ref="W130:W161" si="65">IF(OR(M130="Pendiente", M130="Rechazado"), "Presupuesto No Aprobado", IF(N130="", "Falta OC Mandante", IF(R130="", "OC Recibida - Pendiente Factura", IF(AND(L130=P130, P130=T130), "CUADRADO (3-WAY OK)", "DESCUADRE DE MONTOS"))))</f>
        <v>CUADRADO (3-WAY OK)</v>
      </c>
      <c r="X130">
        <f>SUMIFS(Detalle_OT!$I$2:$I$592,Detalle_OT!$B$2:$B$592,A130)</f>
        <v>312250</v>
      </c>
      <c r="Y130">
        <f>SUMIFS(Detalle_OT!$H$2:$H$592,Detalle_OT!$B$2:$B$592,A130,Detalle_OT!$C$2:$C$592,"Repuesto")</f>
        <v>161730</v>
      </c>
      <c r="Z130">
        <f>SUMIFS(Detalle_OT!$H$2:$H$592,Detalle_OT!$B$2:$B$592,A130,Detalle_OT!$C$2:$C$592,"Mano de Obra")</f>
        <v>42300</v>
      </c>
      <c r="AA130">
        <f t="shared" ref="AA130:AA161" si="66">IF(AK130=1, "", X130-Y130-Z130)</f>
        <v>108220</v>
      </c>
      <c r="AB130">
        <f t="shared" ref="AB130:AB161" si="67">IF(OR(AK130=1, X130=0, ISBLANK(X130)), "", AA130/X130)</f>
        <v>0.34658126501200959</v>
      </c>
      <c r="AC130" t="str">
        <f t="shared" ref="AC130:AC161" si="68">IF(AK130=1, "Pendiente de Validación", IF(AA130&lt;0, "Margen Negativo Confirmado", "Margen No Negativo Confirmado"))</f>
        <v>Margen No Negativo Confirmado</v>
      </c>
      <c r="AD130" t="str">
        <f t="shared" ref="AD130:AD161" si="69">YEAR(E130)&amp;"-"&amp;TEXT(MONTH(E130),"00")</f>
        <v>2026-09</v>
      </c>
      <c r="AE130" t="str">
        <f t="shared" ref="AE130:AE161" si="70">"Semana "&amp;WEEKNUM(E130)</f>
        <v>Semana 36</v>
      </c>
      <c r="AF130">
        <f t="shared" ref="AF130:AF161" si="71">IF(G130&lt;&gt;"", G130-E130, "")</f>
        <v>10</v>
      </c>
      <c r="AG130">
        <f t="shared" ref="AG130:AG161" si="72">IF(G130="","",IF(G130&lt;=F130,1,0))</f>
        <v>0</v>
      </c>
      <c r="AH130">
        <f>IF(AND(G130="",OR(I130="En Curso",I130="Reprogramada"),F130&lt;Dashboard!$B$5),1,0)</f>
        <v>0</v>
      </c>
      <c r="AI130">
        <f t="shared" ref="AI130:AI161" si="73">IF(AND(M130="Aprobado", N130=""), 1, 0)</f>
        <v>0</v>
      </c>
      <c r="AJ130">
        <f t="shared" ref="AJ130:AJ161" si="74">IF(AND(OR(I130="Terminada",I130="Entregada"), R130=""), 1, 0)</f>
        <v>0</v>
      </c>
      <c r="AK130">
        <f>IF(SUMIFS(Detalle_OT!$J$2:$J$592,Detalle_OT!$B$2:$B$592,A130)&gt;0,1,0)</f>
        <v>0</v>
      </c>
      <c r="AL130">
        <f>IF(AND(OR(Dashboard!$D$5="Todos",AD130=Dashboard!$D$5),OR(Dashboard!$F$5="Todos",D130=Dashboard!$F$5),OR(Dashboard!$H$5="Todos",I130=Dashboard!$H$5)),1,0)</f>
        <v>1</v>
      </c>
      <c r="AM130">
        <f>IF(AND(OR(Control_Mandante!$C$4="Todos", AD130=Control_Mandante!$C$4), OR(Control_Mandante!$F$4="Todos", B130=Control_Mandante!$F$4), OR(Control_Mandante!$I$4="Todos", W130=Control_Mandante!$I$4), OR(Control_Mandante!$L$4="Todos", H130=Control_Mandante!$L$4)), 1, 0)</f>
        <v>1</v>
      </c>
      <c r="AN130" t="str">
        <f>IF(AH130=1, COUNTIF(AH$2:AH130, 1), "")</f>
        <v/>
      </c>
      <c r="AO130" t="str">
        <f>IF(AJ130=1, COUNTIF(AJ$2:AJ130, 1), "")</f>
        <v/>
      </c>
      <c r="AP130" t="str">
        <f>IF(AK130=1, COUNTIF(AK$2:AK130, 1), "")</f>
        <v/>
      </c>
    </row>
    <row r="131" spans="1:42" x14ac:dyDescent="0.25">
      <c r="A131" t="s">
        <v>914</v>
      </c>
      <c r="B131" t="s">
        <v>155</v>
      </c>
      <c r="C131" t="s">
        <v>915</v>
      </c>
      <c r="D131" t="s">
        <v>301</v>
      </c>
      <c r="E131" s="43">
        <v>46268</v>
      </c>
      <c r="F131" s="43">
        <v>46275</v>
      </c>
      <c r="G131" s="43">
        <v>46273</v>
      </c>
      <c r="H131" t="s">
        <v>215</v>
      </c>
      <c r="I131" t="s">
        <v>277</v>
      </c>
      <c r="J131" t="s">
        <v>916</v>
      </c>
      <c r="K131" s="43">
        <v>46268</v>
      </c>
      <c r="L131">
        <f t="shared" si="63"/>
        <v>270630</v>
      </c>
      <c r="M131" t="s">
        <v>279</v>
      </c>
      <c r="N131" t="s">
        <v>917</v>
      </c>
      <c r="O131" s="43">
        <v>46269</v>
      </c>
      <c r="P131">
        <f t="shared" si="62"/>
        <v>270630</v>
      </c>
      <c r="Q131" t="s">
        <v>281</v>
      </c>
      <c r="R131" t="s">
        <v>918</v>
      </c>
      <c r="S131" s="43">
        <v>46275</v>
      </c>
      <c r="T131">
        <f t="shared" si="61"/>
        <v>270630</v>
      </c>
      <c r="U131">
        <f>T131</f>
        <v>270630</v>
      </c>
      <c r="V131">
        <f t="shared" si="64"/>
        <v>0</v>
      </c>
      <c r="W131" t="str">
        <f t="shared" si="65"/>
        <v>CUADRADO (3-WAY OK)</v>
      </c>
      <c r="X131">
        <f>SUMIFS(Detalle_OT!$I$2:$I$592,Detalle_OT!$B$2:$B$592,A131)</f>
        <v>270630</v>
      </c>
      <c r="Y131">
        <f>SUMIFS(Detalle_OT!$H$2:$H$592,Detalle_OT!$B$2:$B$592,A131,Detalle_OT!$C$2:$C$592,"Repuesto")</f>
        <v>317100</v>
      </c>
      <c r="Z131">
        <f>SUMIFS(Detalle_OT!$H$2:$H$592,Detalle_OT!$B$2:$B$592,A131,Detalle_OT!$C$2:$C$592,"Mano de Obra")</f>
        <v>105300</v>
      </c>
      <c r="AA131" t="str">
        <f t="shared" si="66"/>
        <v/>
      </c>
      <c r="AB131" t="str">
        <f t="shared" si="67"/>
        <v/>
      </c>
      <c r="AC131" t="str">
        <f t="shared" si="68"/>
        <v>Pendiente de Validación</v>
      </c>
      <c r="AD131" t="str">
        <f t="shared" si="69"/>
        <v>2026-09</v>
      </c>
      <c r="AE131" t="str">
        <f t="shared" si="70"/>
        <v>Semana 36</v>
      </c>
      <c r="AF131">
        <f t="shared" si="71"/>
        <v>5</v>
      </c>
      <c r="AG131">
        <f t="shared" si="72"/>
        <v>1</v>
      </c>
      <c r="AH131">
        <f>IF(AND(G131="",OR(I131="En Curso",I131="Reprogramada"),F131&lt;Dashboard!$B$5),1,0)</f>
        <v>0</v>
      </c>
      <c r="AI131">
        <f t="shared" si="73"/>
        <v>0</v>
      </c>
      <c r="AJ131">
        <f t="shared" si="74"/>
        <v>0</v>
      </c>
      <c r="AK131">
        <f>IF(SUMIFS(Detalle_OT!$J$2:$J$592,Detalle_OT!$B$2:$B$592,A131)&gt;0,1,0)</f>
        <v>1</v>
      </c>
      <c r="AL131">
        <f>IF(AND(OR(Dashboard!$D$5="Todos",AD131=Dashboard!$D$5),OR(Dashboard!$F$5="Todos",D131=Dashboard!$F$5),OR(Dashboard!$H$5="Todos",I131=Dashboard!$H$5)),1,0)</f>
        <v>1</v>
      </c>
      <c r="AM131">
        <f>IF(AND(OR(Control_Mandante!$C$4="Todos", AD131=Control_Mandante!$C$4), OR(Control_Mandante!$F$4="Todos", B131=Control_Mandante!$F$4), OR(Control_Mandante!$I$4="Todos", W131=Control_Mandante!$I$4), OR(Control_Mandante!$L$4="Todos", H131=Control_Mandante!$L$4)), 1, 0)</f>
        <v>1</v>
      </c>
      <c r="AN131" t="str">
        <f>IF(AH131=1, COUNTIF(AH$2:AH131, 1), "")</f>
        <v/>
      </c>
      <c r="AO131" t="str">
        <f>IF(AJ131=1, COUNTIF(AJ$2:AJ131, 1), "")</f>
        <v/>
      </c>
      <c r="AP131">
        <f>IF(AK131=1, COUNTIF(AK$2:AK131, 1), "")</f>
        <v>8</v>
      </c>
    </row>
    <row r="132" spans="1:42" x14ac:dyDescent="0.25">
      <c r="A132" t="s">
        <v>919</v>
      </c>
      <c r="B132" t="s">
        <v>203</v>
      </c>
      <c r="C132" t="s">
        <v>920</v>
      </c>
      <c r="D132" t="s">
        <v>301</v>
      </c>
      <c r="E132" s="43">
        <v>46270</v>
      </c>
      <c r="F132" s="43">
        <v>46278</v>
      </c>
      <c r="G132" s="43">
        <v>46277</v>
      </c>
      <c r="H132" t="s">
        <v>218</v>
      </c>
      <c r="I132" t="s">
        <v>277</v>
      </c>
      <c r="J132" t="s">
        <v>921</v>
      </c>
      <c r="K132" s="43">
        <v>46270</v>
      </c>
      <c r="L132">
        <f t="shared" si="63"/>
        <v>481250</v>
      </c>
      <c r="M132" t="s">
        <v>279</v>
      </c>
      <c r="N132" t="s">
        <v>922</v>
      </c>
      <c r="O132" s="43">
        <v>46271</v>
      </c>
      <c r="P132">
        <f t="shared" si="62"/>
        <v>481250</v>
      </c>
      <c r="Q132" t="s">
        <v>281</v>
      </c>
      <c r="R132" t="s">
        <v>923</v>
      </c>
      <c r="S132" s="43">
        <v>46279</v>
      </c>
      <c r="T132">
        <f t="shared" si="61"/>
        <v>481250</v>
      </c>
      <c r="U132">
        <f>T132</f>
        <v>481250</v>
      </c>
      <c r="V132">
        <f t="shared" si="64"/>
        <v>0</v>
      </c>
      <c r="W132" t="str">
        <f t="shared" si="65"/>
        <v>CUADRADO (3-WAY OK)</v>
      </c>
      <c r="X132">
        <f>SUMIFS(Detalle_OT!$I$2:$I$592,Detalle_OT!$B$2:$B$592,A132)</f>
        <v>481250</v>
      </c>
      <c r="Y132">
        <f>SUMIFS(Detalle_OT!$H$2:$H$592,Detalle_OT!$B$2:$B$592,A132,Detalle_OT!$C$2:$C$592,"Repuesto")</f>
        <v>331330</v>
      </c>
      <c r="Z132">
        <f>SUMIFS(Detalle_OT!$H$2:$H$592,Detalle_OT!$B$2:$B$592,A132,Detalle_OT!$C$2:$C$592,"Mano de Obra")</f>
        <v>77700</v>
      </c>
      <c r="AA132">
        <f t="shared" si="66"/>
        <v>72220</v>
      </c>
      <c r="AB132">
        <f t="shared" si="67"/>
        <v>0.15006753246753246</v>
      </c>
      <c r="AC132" t="str">
        <f t="shared" si="68"/>
        <v>Margen No Negativo Confirmado</v>
      </c>
      <c r="AD132" t="str">
        <f t="shared" si="69"/>
        <v>2026-09</v>
      </c>
      <c r="AE132" t="str">
        <f t="shared" si="70"/>
        <v>Semana 36</v>
      </c>
      <c r="AF132">
        <f t="shared" si="71"/>
        <v>7</v>
      </c>
      <c r="AG132">
        <f t="shared" si="72"/>
        <v>1</v>
      </c>
      <c r="AH132">
        <f>IF(AND(G132="",OR(I132="En Curso",I132="Reprogramada"),F132&lt;Dashboard!$B$5),1,0)</f>
        <v>0</v>
      </c>
      <c r="AI132">
        <f t="shared" si="73"/>
        <v>0</v>
      </c>
      <c r="AJ132">
        <f t="shared" si="74"/>
        <v>0</v>
      </c>
      <c r="AK132">
        <f>IF(SUMIFS(Detalle_OT!$J$2:$J$592,Detalle_OT!$B$2:$B$592,A132)&gt;0,1,0)</f>
        <v>0</v>
      </c>
      <c r="AL132">
        <f>IF(AND(OR(Dashboard!$D$5="Todos",AD132=Dashboard!$D$5),OR(Dashboard!$F$5="Todos",D132=Dashboard!$F$5),OR(Dashboard!$H$5="Todos",I132=Dashboard!$H$5)),1,0)</f>
        <v>1</v>
      </c>
      <c r="AM132">
        <f>IF(AND(OR(Control_Mandante!$C$4="Todos", AD132=Control_Mandante!$C$4), OR(Control_Mandante!$F$4="Todos", B132=Control_Mandante!$F$4), OR(Control_Mandante!$I$4="Todos", W132=Control_Mandante!$I$4), OR(Control_Mandante!$L$4="Todos", H132=Control_Mandante!$L$4)), 1, 0)</f>
        <v>1</v>
      </c>
      <c r="AN132" t="str">
        <f>IF(AH132=1, COUNTIF(AH$2:AH132, 1), "")</f>
        <v/>
      </c>
      <c r="AO132" t="str">
        <f>IF(AJ132=1, COUNTIF(AJ$2:AJ132, 1), "")</f>
        <v/>
      </c>
      <c r="AP132" t="str">
        <f>IF(AK132=1, COUNTIF(AK$2:AK132, 1), "")</f>
        <v/>
      </c>
    </row>
    <row r="133" spans="1:42" x14ac:dyDescent="0.25">
      <c r="A133" t="s">
        <v>924</v>
      </c>
      <c r="B133" t="s">
        <v>183</v>
      </c>
      <c r="C133" t="s">
        <v>925</v>
      </c>
      <c r="D133" t="s">
        <v>276</v>
      </c>
      <c r="E133" s="43">
        <v>46273</v>
      </c>
      <c r="F133" s="43">
        <v>46277</v>
      </c>
      <c r="H133" t="s">
        <v>218</v>
      </c>
      <c r="I133" t="s">
        <v>592</v>
      </c>
      <c r="J133" t="s">
        <v>926</v>
      </c>
      <c r="K133" s="43">
        <v>46273</v>
      </c>
      <c r="L133">
        <f t="shared" si="63"/>
        <v>379320</v>
      </c>
      <c r="M133" t="s">
        <v>927</v>
      </c>
      <c r="P133">
        <v>0</v>
      </c>
      <c r="Q133" t="s">
        <v>928</v>
      </c>
      <c r="T133">
        <v>0</v>
      </c>
      <c r="U133">
        <v>0</v>
      </c>
      <c r="V133">
        <f t="shared" si="64"/>
        <v>0</v>
      </c>
      <c r="W133" t="str">
        <f t="shared" si="65"/>
        <v>Presupuesto No Aprobado</v>
      </c>
      <c r="X133">
        <f>SUMIFS(Detalle_OT!$I$2:$I$592,Detalle_OT!$B$2:$B$592,A133)</f>
        <v>379320</v>
      </c>
      <c r="Y133">
        <f>SUMIFS(Detalle_OT!$H$2:$H$592,Detalle_OT!$B$2:$B$592,A133,Detalle_OT!$C$2:$C$592,"Repuesto")</f>
        <v>123800</v>
      </c>
      <c r="Z133">
        <f>SUMIFS(Detalle_OT!$H$2:$H$592,Detalle_OT!$B$2:$B$592,A133,Detalle_OT!$C$2:$C$592,"Mano de Obra")</f>
        <v>128200</v>
      </c>
      <c r="AA133">
        <f t="shared" si="66"/>
        <v>127320</v>
      </c>
      <c r="AB133">
        <f t="shared" si="67"/>
        <v>0.33565327428029107</v>
      </c>
      <c r="AC133" t="str">
        <f t="shared" si="68"/>
        <v>Margen No Negativo Confirmado</v>
      </c>
      <c r="AD133" t="str">
        <f t="shared" si="69"/>
        <v>2026-09</v>
      </c>
      <c r="AE133" t="str">
        <f t="shared" si="70"/>
        <v>Semana 37</v>
      </c>
      <c r="AF133" t="str">
        <f t="shared" si="71"/>
        <v/>
      </c>
      <c r="AG133" t="str">
        <f t="shared" si="72"/>
        <v/>
      </c>
      <c r="AH133">
        <f>IF(AND(G133="",OR(I133="En Curso",I133="Reprogramada"),F133&lt;Dashboard!$B$5),1,0)</f>
        <v>1</v>
      </c>
      <c r="AI133">
        <f t="shared" si="73"/>
        <v>0</v>
      </c>
      <c r="AJ133">
        <f t="shared" si="74"/>
        <v>0</v>
      </c>
      <c r="AK133">
        <f>IF(SUMIFS(Detalle_OT!$J$2:$J$592,Detalle_OT!$B$2:$B$592,A133)&gt;0,1,0)</f>
        <v>0</v>
      </c>
      <c r="AL133">
        <f>IF(AND(OR(Dashboard!$D$5="Todos",AD133=Dashboard!$D$5),OR(Dashboard!$F$5="Todos",D133=Dashboard!$F$5),OR(Dashboard!$H$5="Todos",I133=Dashboard!$H$5)),1,0)</f>
        <v>1</v>
      </c>
      <c r="AM133">
        <f>IF(AND(OR(Control_Mandante!$C$4="Todos", AD133=Control_Mandante!$C$4), OR(Control_Mandante!$F$4="Todos", B133=Control_Mandante!$F$4), OR(Control_Mandante!$I$4="Todos", W133=Control_Mandante!$I$4), OR(Control_Mandante!$L$4="Todos", H133=Control_Mandante!$L$4)), 1, 0)</f>
        <v>1</v>
      </c>
      <c r="AN133">
        <f>IF(AH133=1, COUNTIF(AH$2:AH133, 1), "")</f>
        <v>8</v>
      </c>
      <c r="AO133" t="str">
        <f>IF(AJ133=1, COUNTIF(AJ$2:AJ133, 1), "")</f>
        <v/>
      </c>
      <c r="AP133" t="str">
        <f>IF(AK133=1, COUNTIF(AK$2:AK133, 1), "")</f>
        <v/>
      </c>
    </row>
    <row r="134" spans="1:42" x14ac:dyDescent="0.25">
      <c r="A134" t="s">
        <v>929</v>
      </c>
      <c r="B134" t="s">
        <v>177</v>
      </c>
      <c r="C134" t="s">
        <v>930</v>
      </c>
      <c r="D134" t="s">
        <v>276</v>
      </c>
      <c r="E134" s="43">
        <v>46273</v>
      </c>
      <c r="F134" s="43">
        <v>46275</v>
      </c>
      <c r="G134" s="43">
        <v>46278</v>
      </c>
      <c r="H134" t="s">
        <v>215</v>
      </c>
      <c r="I134" t="s">
        <v>277</v>
      </c>
      <c r="J134" t="s">
        <v>931</v>
      </c>
      <c r="K134" s="43">
        <v>46273</v>
      </c>
      <c r="L134">
        <f t="shared" si="63"/>
        <v>278780</v>
      </c>
      <c r="M134" t="s">
        <v>279</v>
      </c>
      <c r="N134" t="s">
        <v>932</v>
      </c>
      <c r="O134" s="43">
        <v>46274</v>
      </c>
      <c r="P134">
        <f t="shared" ref="P134:P171" si="75">X134</f>
        <v>278780</v>
      </c>
      <c r="Q134" t="s">
        <v>281</v>
      </c>
      <c r="R134" t="s">
        <v>933</v>
      </c>
      <c r="S134" s="43">
        <v>46280</v>
      </c>
      <c r="T134">
        <f>X134</f>
        <v>278780</v>
      </c>
      <c r="U134">
        <f>T134</f>
        <v>278780</v>
      </c>
      <c r="V134">
        <f t="shared" si="64"/>
        <v>0</v>
      </c>
      <c r="W134" t="str">
        <f t="shared" si="65"/>
        <v>CUADRADO (3-WAY OK)</v>
      </c>
      <c r="X134">
        <f>SUMIFS(Detalle_OT!$I$2:$I$592,Detalle_OT!$B$2:$B$592,A134)</f>
        <v>278780</v>
      </c>
      <c r="Y134">
        <f>SUMIFS(Detalle_OT!$H$2:$H$592,Detalle_OT!$B$2:$B$592,A134,Detalle_OT!$C$2:$C$592,"Repuesto")</f>
        <v>96840</v>
      </c>
      <c r="Z134">
        <f>SUMIFS(Detalle_OT!$H$2:$H$592,Detalle_OT!$B$2:$B$592,A134,Detalle_OT!$C$2:$C$592,"Mano de Obra")</f>
        <v>85300</v>
      </c>
      <c r="AA134">
        <f t="shared" si="66"/>
        <v>96640</v>
      </c>
      <c r="AB134">
        <f t="shared" si="67"/>
        <v>0.34665327498385823</v>
      </c>
      <c r="AC134" t="str">
        <f t="shared" si="68"/>
        <v>Margen No Negativo Confirmado</v>
      </c>
      <c r="AD134" t="str">
        <f t="shared" si="69"/>
        <v>2026-09</v>
      </c>
      <c r="AE134" t="str">
        <f t="shared" si="70"/>
        <v>Semana 37</v>
      </c>
      <c r="AF134">
        <f t="shared" si="71"/>
        <v>5</v>
      </c>
      <c r="AG134">
        <f t="shared" si="72"/>
        <v>0</v>
      </c>
      <c r="AH134">
        <f>IF(AND(G134="",OR(I134="En Curso",I134="Reprogramada"),F134&lt;Dashboard!$B$5),1,0)</f>
        <v>0</v>
      </c>
      <c r="AI134">
        <f t="shared" si="73"/>
        <v>0</v>
      </c>
      <c r="AJ134">
        <f t="shared" si="74"/>
        <v>0</v>
      </c>
      <c r="AK134">
        <f>IF(SUMIFS(Detalle_OT!$J$2:$J$592,Detalle_OT!$B$2:$B$592,A134)&gt;0,1,0)</f>
        <v>0</v>
      </c>
      <c r="AL134">
        <f>IF(AND(OR(Dashboard!$D$5="Todos",AD134=Dashboard!$D$5),OR(Dashboard!$F$5="Todos",D134=Dashboard!$F$5),OR(Dashboard!$H$5="Todos",I134=Dashboard!$H$5)),1,0)</f>
        <v>1</v>
      </c>
      <c r="AM134">
        <f>IF(AND(OR(Control_Mandante!$C$4="Todos", AD134=Control_Mandante!$C$4), OR(Control_Mandante!$F$4="Todos", B134=Control_Mandante!$F$4), OR(Control_Mandante!$I$4="Todos", W134=Control_Mandante!$I$4), OR(Control_Mandante!$L$4="Todos", H134=Control_Mandante!$L$4)), 1, 0)</f>
        <v>1</v>
      </c>
      <c r="AN134" t="str">
        <f>IF(AH134=1, COUNTIF(AH$2:AH134, 1), "")</f>
        <v/>
      </c>
      <c r="AO134" t="str">
        <f>IF(AJ134=1, COUNTIF(AJ$2:AJ134, 1), "")</f>
        <v/>
      </c>
      <c r="AP134" t="str">
        <f>IF(AK134=1, COUNTIF(AK$2:AK134, 1), "")</f>
        <v/>
      </c>
    </row>
    <row r="135" spans="1:42" x14ac:dyDescent="0.25">
      <c r="A135" t="s">
        <v>934</v>
      </c>
      <c r="B135" t="s">
        <v>165</v>
      </c>
      <c r="C135" t="s">
        <v>935</v>
      </c>
      <c r="D135" t="s">
        <v>301</v>
      </c>
      <c r="E135" s="43">
        <v>46273</v>
      </c>
      <c r="F135" s="43">
        <v>46276</v>
      </c>
      <c r="G135" s="43">
        <v>46275</v>
      </c>
      <c r="H135" t="s">
        <v>220</v>
      </c>
      <c r="I135" t="s">
        <v>277</v>
      </c>
      <c r="J135" t="s">
        <v>936</v>
      </c>
      <c r="K135" s="43">
        <v>46273</v>
      </c>
      <c r="L135">
        <f t="shared" si="63"/>
        <v>777400</v>
      </c>
      <c r="M135" t="s">
        <v>279</v>
      </c>
      <c r="N135" t="s">
        <v>937</v>
      </c>
      <c r="O135" s="43">
        <v>46274</v>
      </c>
      <c r="P135">
        <f t="shared" si="75"/>
        <v>777400</v>
      </c>
      <c r="Q135" t="s">
        <v>281</v>
      </c>
      <c r="R135" t="s">
        <v>938</v>
      </c>
      <c r="S135" s="43">
        <v>46277</v>
      </c>
      <c r="T135">
        <f>X135</f>
        <v>777400</v>
      </c>
      <c r="U135">
        <f>T135</f>
        <v>777400</v>
      </c>
      <c r="V135">
        <f t="shared" si="64"/>
        <v>0</v>
      </c>
      <c r="W135" t="str">
        <f t="shared" si="65"/>
        <v>CUADRADO (3-WAY OK)</v>
      </c>
      <c r="X135">
        <f>SUMIFS(Detalle_OT!$I$2:$I$592,Detalle_OT!$B$2:$B$592,A135)</f>
        <v>777400</v>
      </c>
      <c r="Y135">
        <f>SUMIFS(Detalle_OT!$H$2:$H$592,Detalle_OT!$B$2:$B$592,A135,Detalle_OT!$C$2:$C$592,"Repuesto")</f>
        <v>301320</v>
      </c>
      <c r="Z135">
        <f>SUMIFS(Detalle_OT!$H$2:$H$592,Detalle_OT!$B$2:$B$592,A135,Detalle_OT!$C$2:$C$592,"Mano de Obra")</f>
        <v>46400</v>
      </c>
      <c r="AA135" t="str">
        <f t="shared" si="66"/>
        <v/>
      </c>
      <c r="AB135" t="str">
        <f t="shared" si="67"/>
        <v/>
      </c>
      <c r="AC135" t="str">
        <f t="shared" si="68"/>
        <v>Pendiente de Validación</v>
      </c>
      <c r="AD135" t="str">
        <f t="shared" si="69"/>
        <v>2026-09</v>
      </c>
      <c r="AE135" t="str">
        <f t="shared" si="70"/>
        <v>Semana 37</v>
      </c>
      <c r="AF135">
        <f t="shared" si="71"/>
        <v>2</v>
      </c>
      <c r="AG135">
        <f t="shared" si="72"/>
        <v>1</v>
      </c>
      <c r="AH135">
        <f>IF(AND(G135="",OR(I135="En Curso",I135="Reprogramada"),F135&lt;Dashboard!$B$5),1,0)</f>
        <v>0</v>
      </c>
      <c r="AI135">
        <f t="shared" si="73"/>
        <v>0</v>
      </c>
      <c r="AJ135">
        <f t="shared" si="74"/>
        <v>0</v>
      </c>
      <c r="AK135">
        <f>IF(SUMIFS(Detalle_OT!$J$2:$J$592,Detalle_OT!$B$2:$B$592,A135)&gt;0,1,0)</f>
        <v>1</v>
      </c>
      <c r="AL135">
        <f>IF(AND(OR(Dashboard!$D$5="Todos",AD135=Dashboard!$D$5),OR(Dashboard!$F$5="Todos",D135=Dashboard!$F$5),OR(Dashboard!$H$5="Todos",I135=Dashboard!$H$5)),1,0)</f>
        <v>1</v>
      </c>
      <c r="AM135">
        <f>IF(AND(OR(Control_Mandante!$C$4="Todos", AD135=Control_Mandante!$C$4), OR(Control_Mandante!$F$4="Todos", B135=Control_Mandante!$F$4), OR(Control_Mandante!$I$4="Todos", W135=Control_Mandante!$I$4), OR(Control_Mandante!$L$4="Todos", H135=Control_Mandante!$L$4)), 1, 0)</f>
        <v>1</v>
      </c>
      <c r="AN135" t="str">
        <f>IF(AH135=1, COUNTIF(AH$2:AH135, 1), "")</f>
        <v/>
      </c>
      <c r="AO135" t="str">
        <f>IF(AJ135=1, COUNTIF(AJ$2:AJ135, 1), "")</f>
        <v/>
      </c>
      <c r="AP135">
        <f>IF(AK135=1, COUNTIF(AK$2:AK135, 1), "")</f>
        <v>9</v>
      </c>
    </row>
    <row r="136" spans="1:42" x14ac:dyDescent="0.25">
      <c r="A136" t="s">
        <v>939</v>
      </c>
      <c r="B136" t="s">
        <v>203</v>
      </c>
      <c r="C136" t="s">
        <v>940</v>
      </c>
      <c r="D136" t="s">
        <v>295</v>
      </c>
      <c r="E136" s="43">
        <v>46273</v>
      </c>
      <c r="F136" s="43">
        <v>46292</v>
      </c>
      <c r="G136" s="43">
        <v>46294</v>
      </c>
      <c r="H136" t="s">
        <v>227</v>
      </c>
      <c r="I136" t="s">
        <v>277</v>
      </c>
      <c r="J136" t="s">
        <v>941</v>
      </c>
      <c r="K136" s="43">
        <v>46273</v>
      </c>
      <c r="L136">
        <f t="shared" si="63"/>
        <v>1644620</v>
      </c>
      <c r="M136" t="s">
        <v>279</v>
      </c>
      <c r="N136" t="s">
        <v>942</v>
      </c>
      <c r="O136" s="43">
        <v>46274</v>
      </c>
      <c r="P136">
        <f t="shared" si="75"/>
        <v>1644620</v>
      </c>
      <c r="Q136" t="s">
        <v>281</v>
      </c>
      <c r="R136" t="s">
        <v>943</v>
      </c>
      <c r="S136" s="43">
        <v>46296</v>
      </c>
      <c r="T136">
        <f>X136</f>
        <v>1644620</v>
      </c>
      <c r="U136">
        <f>T136*0.5</f>
        <v>822310</v>
      </c>
      <c r="V136">
        <f t="shared" si="64"/>
        <v>822310</v>
      </c>
      <c r="W136" t="str">
        <f t="shared" si="65"/>
        <v>CUADRADO (3-WAY OK)</v>
      </c>
      <c r="X136">
        <f>SUMIFS(Detalle_OT!$I$2:$I$592,Detalle_OT!$B$2:$B$592,A136)</f>
        <v>1644620</v>
      </c>
      <c r="Y136">
        <f>SUMIFS(Detalle_OT!$H$2:$H$592,Detalle_OT!$B$2:$B$592,A136,Detalle_OT!$C$2:$C$592,"Repuesto")</f>
        <v>437480</v>
      </c>
      <c r="Z136">
        <f>SUMIFS(Detalle_OT!$H$2:$H$592,Detalle_OT!$B$2:$B$592,A136,Detalle_OT!$C$2:$C$592,"Mano de Obra")</f>
        <v>532600</v>
      </c>
      <c r="AA136">
        <f t="shared" si="66"/>
        <v>674540</v>
      </c>
      <c r="AB136">
        <f t="shared" si="67"/>
        <v>0.4101494570174265</v>
      </c>
      <c r="AC136" t="str">
        <f t="shared" si="68"/>
        <v>Margen No Negativo Confirmado</v>
      </c>
      <c r="AD136" t="str">
        <f t="shared" si="69"/>
        <v>2026-09</v>
      </c>
      <c r="AE136" t="str">
        <f t="shared" si="70"/>
        <v>Semana 37</v>
      </c>
      <c r="AF136">
        <f t="shared" si="71"/>
        <v>21</v>
      </c>
      <c r="AG136">
        <f t="shared" si="72"/>
        <v>0</v>
      </c>
      <c r="AH136">
        <f>IF(AND(G136="",OR(I136="En Curso",I136="Reprogramada"),F136&lt;Dashboard!$B$5),1,0)</f>
        <v>0</v>
      </c>
      <c r="AI136">
        <f t="shared" si="73"/>
        <v>0</v>
      </c>
      <c r="AJ136">
        <f t="shared" si="74"/>
        <v>0</v>
      </c>
      <c r="AK136">
        <f>IF(SUMIFS(Detalle_OT!$J$2:$J$592,Detalle_OT!$B$2:$B$592,A136)&gt;0,1,0)</f>
        <v>0</v>
      </c>
      <c r="AL136">
        <f>IF(AND(OR(Dashboard!$D$5="Todos",AD136=Dashboard!$D$5),OR(Dashboard!$F$5="Todos",D136=Dashboard!$F$5),OR(Dashboard!$H$5="Todos",I136=Dashboard!$H$5)),1,0)</f>
        <v>1</v>
      </c>
      <c r="AM136">
        <f>IF(AND(OR(Control_Mandante!$C$4="Todos", AD136=Control_Mandante!$C$4), OR(Control_Mandante!$F$4="Todos", B136=Control_Mandante!$F$4), OR(Control_Mandante!$I$4="Todos", W136=Control_Mandante!$I$4), OR(Control_Mandante!$L$4="Todos", H136=Control_Mandante!$L$4)), 1, 0)</f>
        <v>1</v>
      </c>
      <c r="AN136" t="str">
        <f>IF(AH136=1, COUNTIF(AH$2:AH136, 1), "")</f>
        <v/>
      </c>
      <c r="AO136" t="str">
        <f>IF(AJ136=1, COUNTIF(AJ$2:AJ136, 1), "")</f>
        <v/>
      </c>
      <c r="AP136" t="str">
        <f>IF(AK136=1, COUNTIF(AK$2:AK136, 1), "")</f>
        <v/>
      </c>
    </row>
    <row r="137" spans="1:42" x14ac:dyDescent="0.25">
      <c r="A137" t="s">
        <v>944</v>
      </c>
      <c r="B137" t="s">
        <v>183</v>
      </c>
      <c r="C137" t="s">
        <v>945</v>
      </c>
      <c r="D137" t="s">
        <v>276</v>
      </c>
      <c r="E137" s="43">
        <v>46276</v>
      </c>
      <c r="F137" s="43">
        <v>46278</v>
      </c>
      <c r="G137" s="43">
        <v>46278</v>
      </c>
      <c r="H137" t="s">
        <v>215</v>
      </c>
      <c r="I137" t="s">
        <v>277</v>
      </c>
      <c r="J137" t="s">
        <v>946</v>
      </c>
      <c r="K137" s="43">
        <v>46276</v>
      </c>
      <c r="L137">
        <f t="shared" si="63"/>
        <v>326600</v>
      </c>
      <c r="M137" t="s">
        <v>279</v>
      </c>
      <c r="N137" t="s">
        <v>947</v>
      </c>
      <c r="O137" s="43">
        <v>46277</v>
      </c>
      <c r="P137">
        <f t="shared" si="75"/>
        <v>326600</v>
      </c>
      <c r="Q137" t="s">
        <v>281</v>
      </c>
      <c r="R137" t="s">
        <v>948</v>
      </c>
      <c r="S137" s="43">
        <v>46280</v>
      </c>
      <c r="T137">
        <f>X137</f>
        <v>326600</v>
      </c>
      <c r="U137">
        <f>T137</f>
        <v>326600</v>
      </c>
      <c r="V137">
        <f t="shared" si="64"/>
        <v>0</v>
      </c>
      <c r="W137" t="str">
        <f t="shared" si="65"/>
        <v>CUADRADO (3-WAY OK)</v>
      </c>
      <c r="X137">
        <f>SUMIFS(Detalle_OT!$I$2:$I$592,Detalle_OT!$B$2:$B$592,A137)</f>
        <v>326600</v>
      </c>
      <c r="Y137">
        <f>SUMIFS(Detalle_OT!$H$2:$H$592,Detalle_OT!$B$2:$B$592,A137,Detalle_OT!$C$2:$C$592,"Repuesto")</f>
        <v>70980</v>
      </c>
      <c r="Z137">
        <f>SUMIFS(Detalle_OT!$H$2:$H$592,Detalle_OT!$B$2:$B$592,A137,Detalle_OT!$C$2:$C$592,"Mano de Obra")</f>
        <v>120700</v>
      </c>
      <c r="AA137">
        <f t="shared" si="66"/>
        <v>134920</v>
      </c>
      <c r="AB137">
        <f t="shared" si="67"/>
        <v>0.41310471524800979</v>
      </c>
      <c r="AC137" t="str">
        <f t="shared" si="68"/>
        <v>Margen No Negativo Confirmado</v>
      </c>
      <c r="AD137" t="str">
        <f t="shared" si="69"/>
        <v>2026-09</v>
      </c>
      <c r="AE137" t="str">
        <f t="shared" si="70"/>
        <v>Semana 37</v>
      </c>
      <c r="AF137">
        <f t="shared" si="71"/>
        <v>2</v>
      </c>
      <c r="AG137">
        <f t="shared" si="72"/>
        <v>1</v>
      </c>
      <c r="AH137">
        <f>IF(AND(G137="",OR(I137="En Curso",I137="Reprogramada"),F137&lt;Dashboard!$B$5),1,0)</f>
        <v>0</v>
      </c>
      <c r="AI137">
        <f t="shared" si="73"/>
        <v>0</v>
      </c>
      <c r="AJ137">
        <f t="shared" si="74"/>
        <v>0</v>
      </c>
      <c r="AK137">
        <f>IF(SUMIFS(Detalle_OT!$J$2:$J$592,Detalle_OT!$B$2:$B$592,A137)&gt;0,1,0)</f>
        <v>0</v>
      </c>
      <c r="AL137">
        <f>IF(AND(OR(Dashboard!$D$5="Todos",AD137=Dashboard!$D$5),OR(Dashboard!$F$5="Todos",D137=Dashboard!$F$5),OR(Dashboard!$H$5="Todos",I137=Dashboard!$H$5)),1,0)</f>
        <v>1</v>
      </c>
      <c r="AM137">
        <f>IF(AND(OR(Control_Mandante!$C$4="Todos", AD137=Control_Mandante!$C$4), OR(Control_Mandante!$F$4="Todos", B137=Control_Mandante!$F$4), OR(Control_Mandante!$I$4="Todos", W137=Control_Mandante!$I$4), OR(Control_Mandante!$L$4="Todos", H137=Control_Mandante!$L$4)), 1, 0)</f>
        <v>1</v>
      </c>
      <c r="AN137" t="str">
        <f>IF(AH137=1, COUNTIF(AH$2:AH137, 1), "")</f>
        <v/>
      </c>
      <c r="AO137" t="str">
        <f>IF(AJ137=1, COUNTIF(AJ$2:AJ137, 1), "")</f>
        <v/>
      </c>
      <c r="AP137" t="str">
        <f>IF(AK137=1, COUNTIF(AK$2:AK137, 1), "")</f>
        <v/>
      </c>
    </row>
    <row r="138" spans="1:42" x14ac:dyDescent="0.25">
      <c r="A138" t="s">
        <v>949</v>
      </c>
      <c r="B138" t="s">
        <v>177</v>
      </c>
      <c r="C138" t="s">
        <v>950</v>
      </c>
      <c r="D138" t="s">
        <v>295</v>
      </c>
      <c r="E138" s="43">
        <v>46276</v>
      </c>
      <c r="F138" s="43">
        <v>46289</v>
      </c>
      <c r="H138" t="s">
        <v>227</v>
      </c>
      <c r="I138" t="s">
        <v>592</v>
      </c>
      <c r="J138" t="s">
        <v>951</v>
      </c>
      <c r="K138" s="43">
        <v>46276</v>
      </c>
      <c r="L138">
        <f t="shared" si="63"/>
        <v>1033530</v>
      </c>
      <c r="M138" t="s">
        <v>279</v>
      </c>
      <c r="N138" t="s">
        <v>952</v>
      </c>
      <c r="O138" s="43">
        <v>46277</v>
      </c>
      <c r="P138">
        <f t="shared" si="75"/>
        <v>1033530</v>
      </c>
      <c r="Q138" t="s">
        <v>281</v>
      </c>
      <c r="T138">
        <v>0</v>
      </c>
      <c r="U138">
        <v>0</v>
      </c>
      <c r="V138">
        <f t="shared" si="64"/>
        <v>0</v>
      </c>
      <c r="W138" t="str">
        <f t="shared" si="65"/>
        <v>OC Recibida - Pendiente Factura</v>
      </c>
      <c r="X138">
        <f>SUMIFS(Detalle_OT!$I$2:$I$592,Detalle_OT!$B$2:$B$592,A138)</f>
        <v>1033530</v>
      </c>
      <c r="Y138">
        <f>SUMIFS(Detalle_OT!$H$2:$H$592,Detalle_OT!$B$2:$B$592,A138,Detalle_OT!$C$2:$C$592,"Repuesto")</f>
        <v>32810</v>
      </c>
      <c r="Z138">
        <f>SUMIFS(Detalle_OT!$H$2:$H$592,Detalle_OT!$B$2:$B$592,A138,Detalle_OT!$C$2:$C$592,"Mano de Obra")</f>
        <v>534300</v>
      </c>
      <c r="AA138">
        <f t="shared" si="66"/>
        <v>466420</v>
      </c>
      <c r="AB138">
        <f t="shared" si="67"/>
        <v>0.45128830319390828</v>
      </c>
      <c r="AC138" t="str">
        <f t="shared" si="68"/>
        <v>Margen No Negativo Confirmado</v>
      </c>
      <c r="AD138" t="str">
        <f t="shared" si="69"/>
        <v>2026-09</v>
      </c>
      <c r="AE138" t="str">
        <f t="shared" si="70"/>
        <v>Semana 37</v>
      </c>
      <c r="AF138" t="str">
        <f t="shared" si="71"/>
        <v/>
      </c>
      <c r="AG138" t="str">
        <f t="shared" si="72"/>
        <v/>
      </c>
      <c r="AH138">
        <f>IF(AND(G138="",OR(I138="En Curso",I138="Reprogramada"),F138&lt;Dashboard!$B$5),1,0)</f>
        <v>1</v>
      </c>
      <c r="AI138">
        <f t="shared" si="73"/>
        <v>0</v>
      </c>
      <c r="AJ138">
        <f t="shared" si="74"/>
        <v>0</v>
      </c>
      <c r="AK138">
        <f>IF(SUMIFS(Detalle_OT!$J$2:$J$592,Detalle_OT!$B$2:$B$592,A138)&gt;0,1,0)</f>
        <v>0</v>
      </c>
      <c r="AL138">
        <f>IF(AND(OR(Dashboard!$D$5="Todos",AD138=Dashboard!$D$5),OR(Dashboard!$F$5="Todos",D138=Dashboard!$F$5),OR(Dashboard!$H$5="Todos",I138=Dashboard!$H$5)),1,0)</f>
        <v>1</v>
      </c>
      <c r="AM138">
        <f>IF(AND(OR(Control_Mandante!$C$4="Todos", AD138=Control_Mandante!$C$4), OR(Control_Mandante!$F$4="Todos", B138=Control_Mandante!$F$4), OR(Control_Mandante!$I$4="Todos", W138=Control_Mandante!$I$4), OR(Control_Mandante!$L$4="Todos", H138=Control_Mandante!$L$4)), 1, 0)</f>
        <v>1</v>
      </c>
      <c r="AN138">
        <f>IF(AH138=1, COUNTIF(AH$2:AH138, 1), "")</f>
        <v>9</v>
      </c>
      <c r="AO138" t="str">
        <f>IF(AJ138=1, COUNTIF(AJ$2:AJ138, 1), "")</f>
        <v/>
      </c>
      <c r="AP138" t="str">
        <f>IF(AK138=1, COUNTIF(AK$2:AK138, 1), "")</f>
        <v/>
      </c>
    </row>
    <row r="139" spans="1:42" x14ac:dyDescent="0.25">
      <c r="A139" t="s">
        <v>953</v>
      </c>
      <c r="B139" t="s">
        <v>209</v>
      </c>
      <c r="C139" t="s">
        <v>954</v>
      </c>
      <c r="D139" t="s">
        <v>295</v>
      </c>
      <c r="E139" s="43">
        <v>46276</v>
      </c>
      <c r="F139" s="43">
        <v>46286</v>
      </c>
      <c r="G139" s="43">
        <v>46285</v>
      </c>
      <c r="H139" t="s">
        <v>225</v>
      </c>
      <c r="I139" t="s">
        <v>290</v>
      </c>
      <c r="J139" t="s">
        <v>955</v>
      </c>
      <c r="K139" s="43">
        <v>46276</v>
      </c>
      <c r="L139">
        <f t="shared" si="63"/>
        <v>1503400</v>
      </c>
      <c r="M139" t="s">
        <v>279</v>
      </c>
      <c r="N139" t="s">
        <v>956</v>
      </c>
      <c r="O139" s="43">
        <v>46277</v>
      </c>
      <c r="P139">
        <f t="shared" si="75"/>
        <v>1503400</v>
      </c>
      <c r="Q139" t="s">
        <v>281</v>
      </c>
      <c r="R139" t="s">
        <v>957</v>
      </c>
      <c r="S139" s="43">
        <v>46286</v>
      </c>
      <c r="T139">
        <f t="shared" ref="T139:T149" si="76">X139</f>
        <v>1503400</v>
      </c>
      <c r="U139">
        <v>0</v>
      </c>
      <c r="V139">
        <f t="shared" si="64"/>
        <v>1503400</v>
      </c>
      <c r="W139" t="str">
        <f t="shared" si="65"/>
        <v>CUADRADO (3-WAY OK)</v>
      </c>
      <c r="X139">
        <f>SUMIFS(Detalle_OT!$I$2:$I$592,Detalle_OT!$B$2:$B$592,A139)</f>
        <v>1503400</v>
      </c>
      <c r="Y139">
        <f>SUMIFS(Detalle_OT!$H$2:$H$592,Detalle_OT!$B$2:$B$592,A139,Detalle_OT!$C$2:$C$592,"Repuesto")</f>
        <v>875200</v>
      </c>
      <c r="Z139">
        <f>SUMIFS(Detalle_OT!$H$2:$H$592,Detalle_OT!$B$2:$B$592,A139,Detalle_OT!$C$2:$C$592,"Mano de Obra")</f>
        <v>548200</v>
      </c>
      <c r="AA139">
        <f t="shared" si="66"/>
        <v>80000</v>
      </c>
      <c r="AB139">
        <f t="shared" si="67"/>
        <v>5.3212717839563654E-2</v>
      </c>
      <c r="AC139" t="str">
        <f t="shared" si="68"/>
        <v>Margen No Negativo Confirmado</v>
      </c>
      <c r="AD139" t="str">
        <f t="shared" si="69"/>
        <v>2026-09</v>
      </c>
      <c r="AE139" t="str">
        <f t="shared" si="70"/>
        <v>Semana 37</v>
      </c>
      <c r="AF139">
        <f t="shared" si="71"/>
        <v>9</v>
      </c>
      <c r="AG139">
        <f t="shared" si="72"/>
        <v>1</v>
      </c>
      <c r="AH139">
        <f>IF(AND(G139="",OR(I139="En Curso",I139="Reprogramada"),F139&lt;Dashboard!$B$5),1,0)</f>
        <v>0</v>
      </c>
      <c r="AI139">
        <f t="shared" si="73"/>
        <v>0</v>
      </c>
      <c r="AJ139">
        <f t="shared" si="74"/>
        <v>0</v>
      </c>
      <c r="AK139">
        <f>IF(SUMIFS(Detalle_OT!$J$2:$J$592,Detalle_OT!$B$2:$B$592,A139)&gt;0,1,0)</f>
        <v>0</v>
      </c>
      <c r="AL139">
        <f>IF(AND(OR(Dashboard!$D$5="Todos",AD139=Dashboard!$D$5),OR(Dashboard!$F$5="Todos",D139=Dashboard!$F$5),OR(Dashboard!$H$5="Todos",I139=Dashboard!$H$5)),1,0)</f>
        <v>1</v>
      </c>
      <c r="AM139">
        <f>IF(AND(OR(Control_Mandante!$C$4="Todos", AD139=Control_Mandante!$C$4), OR(Control_Mandante!$F$4="Todos", B139=Control_Mandante!$F$4), OR(Control_Mandante!$I$4="Todos", W139=Control_Mandante!$I$4), OR(Control_Mandante!$L$4="Todos", H139=Control_Mandante!$L$4)), 1, 0)</f>
        <v>1</v>
      </c>
      <c r="AN139" t="str">
        <f>IF(AH139=1, COUNTIF(AH$2:AH139, 1), "")</f>
        <v/>
      </c>
      <c r="AO139" t="str">
        <f>IF(AJ139=1, COUNTIF(AJ$2:AJ139, 1), "")</f>
        <v/>
      </c>
      <c r="AP139" t="str">
        <f>IF(AK139=1, COUNTIF(AK$2:AK139, 1), "")</f>
        <v/>
      </c>
    </row>
    <row r="140" spans="1:42" x14ac:dyDescent="0.25">
      <c r="A140" t="s">
        <v>958</v>
      </c>
      <c r="B140" t="s">
        <v>177</v>
      </c>
      <c r="C140" t="s">
        <v>959</v>
      </c>
      <c r="D140" t="s">
        <v>295</v>
      </c>
      <c r="E140" s="43">
        <v>46278</v>
      </c>
      <c r="F140" s="43">
        <v>46295</v>
      </c>
      <c r="G140" s="43">
        <v>46298</v>
      </c>
      <c r="H140" t="s">
        <v>227</v>
      </c>
      <c r="I140" t="s">
        <v>277</v>
      </c>
      <c r="J140" t="s">
        <v>960</v>
      </c>
      <c r="K140" s="43">
        <v>46278</v>
      </c>
      <c r="L140">
        <f t="shared" si="63"/>
        <v>1423380</v>
      </c>
      <c r="M140" t="s">
        <v>279</v>
      </c>
      <c r="N140" t="s">
        <v>961</v>
      </c>
      <c r="O140" s="43">
        <v>46279</v>
      </c>
      <c r="P140">
        <f t="shared" si="75"/>
        <v>1423380</v>
      </c>
      <c r="Q140" t="s">
        <v>281</v>
      </c>
      <c r="R140" t="s">
        <v>962</v>
      </c>
      <c r="S140" s="43">
        <v>46300</v>
      </c>
      <c r="T140">
        <f t="shared" si="76"/>
        <v>1423380</v>
      </c>
      <c r="U140">
        <f>T140</f>
        <v>1423380</v>
      </c>
      <c r="V140">
        <f t="shared" si="64"/>
        <v>0</v>
      </c>
      <c r="W140" t="str">
        <f t="shared" si="65"/>
        <v>CUADRADO (3-WAY OK)</v>
      </c>
      <c r="X140">
        <f>SUMIFS(Detalle_OT!$I$2:$I$592,Detalle_OT!$B$2:$B$592,A140)</f>
        <v>1423380</v>
      </c>
      <c r="Y140">
        <f>SUMIFS(Detalle_OT!$H$2:$H$592,Detalle_OT!$B$2:$B$592,A140,Detalle_OT!$C$2:$C$592,"Repuesto")</f>
        <v>584800</v>
      </c>
      <c r="Z140">
        <f>SUMIFS(Detalle_OT!$H$2:$H$592,Detalle_OT!$B$2:$B$592,A140,Detalle_OT!$C$2:$C$592,"Mano de Obra")</f>
        <v>293700</v>
      </c>
      <c r="AA140">
        <f t="shared" si="66"/>
        <v>544880</v>
      </c>
      <c r="AB140">
        <f t="shared" si="67"/>
        <v>0.38280712107799747</v>
      </c>
      <c r="AC140" t="str">
        <f t="shared" si="68"/>
        <v>Margen No Negativo Confirmado</v>
      </c>
      <c r="AD140" t="str">
        <f t="shared" si="69"/>
        <v>2026-09</v>
      </c>
      <c r="AE140" t="str">
        <f t="shared" si="70"/>
        <v>Semana 38</v>
      </c>
      <c r="AF140">
        <f t="shared" si="71"/>
        <v>20</v>
      </c>
      <c r="AG140">
        <f t="shared" si="72"/>
        <v>0</v>
      </c>
      <c r="AH140">
        <f>IF(AND(G140="",OR(I140="En Curso",I140="Reprogramada"),F140&lt;Dashboard!$B$5),1,0)</f>
        <v>0</v>
      </c>
      <c r="AI140">
        <f t="shared" si="73"/>
        <v>0</v>
      </c>
      <c r="AJ140">
        <f t="shared" si="74"/>
        <v>0</v>
      </c>
      <c r="AK140">
        <f>IF(SUMIFS(Detalle_OT!$J$2:$J$592,Detalle_OT!$B$2:$B$592,A140)&gt;0,1,0)</f>
        <v>0</v>
      </c>
      <c r="AL140">
        <f>IF(AND(OR(Dashboard!$D$5="Todos",AD140=Dashboard!$D$5),OR(Dashboard!$F$5="Todos",D140=Dashboard!$F$5),OR(Dashboard!$H$5="Todos",I140=Dashboard!$H$5)),1,0)</f>
        <v>1</v>
      </c>
      <c r="AM140">
        <f>IF(AND(OR(Control_Mandante!$C$4="Todos", AD140=Control_Mandante!$C$4), OR(Control_Mandante!$F$4="Todos", B140=Control_Mandante!$F$4), OR(Control_Mandante!$I$4="Todos", W140=Control_Mandante!$I$4), OR(Control_Mandante!$L$4="Todos", H140=Control_Mandante!$L$4)), 1, 0)</f>
        <v>1</v>
      </c>
      <c r="AN140" t="str">
        <f>IF(AH140=1, COUNTIF(AH$2:AH140, 1), "")</f>
        <v/>
      </c>
      <c r="AO140" t="str">
        <f>IF(AJ140=1, COUNTIF(AJ$2:AJ140, 1), "")</f>
        <v/>
      </c>
      <c r="AP140" t="str">
        <f>IF(AK140=1, COUNTIF(AK$2:AK140, 1), "")</f>
        <v/>
      </c>
    </row>
    <row r="141" spans="1:42" x14ac:dyDescent="0.25">
      <c r="A141" t="s">
        <v>963</v>
      </c>
      <c r="B141" t="s">
        <v>200</v>
      </c>
      <c r="C141" t="s">
        <v>964</v>
      </c>
      <c r="D141" t="s">
        <v>295</v>
      </c>
      <c r="E141" s="43">
        <v>46278</v>
      </c>
      <c r="F141" s="43">
        <v>46298</v>
      </c>
      <c r="G141" s="43">
        <v>46305</v>
      </c>
      <c r="H141" t="s">
        <v>215</v>
      </c>
      <c r="I141" t="s">
        <v>277</v>
      </c>
      <c r="J141" t="s">
        <v>965</v>
      </c>
      <c r="K141" s="43">
        <v>46278</v>
      </c>
      <c r="L141">
        <f t="shared" si="63"/>
        <v>1025380</v>
      </c>
      <c r="M141" t="s">
        <v>279</v>
      </c>
      <c r="N141" t="s">
        <v>966</v>
      </c>
      <c r="O141" s="43">
        <v>46279</v>
      </c>
      <c r="P141">
        <f t="shared" si="75"/>
        <v>1025380</v>
      </c>
      <c r="Q141" t="s">
        <v>281</v>
      </c>
      <c r="R141" t="s">
        <v>967</v>
      </c>
      <c r="S141" s="43">
        <v>46307</v>
      </c>
      <c r="T141">
        <f t="shared" si="76"/>
        <v>1025380</v>
      </c>
      <c r="U141">
        <f>T141</f>
        <v>1025380</v>
      </c>
      <c r="V141">
        <f t="shared" si="64"/>
        <v>0</v>
      </c>
      <c r="W141" t="str">
        <f t="shared" si="65"/>
        <v>CUADRADO (3-WAY OK)</v>
      </c>
      <c r="X141">
        <f>SUMIFS(Detalle_OT!$I$2:$I$592,Detalle_OT!$B$2:$B$592,A141)</f>
        <v>1025380</v>
      </c>
      <c r="Y141">
        <f>SUMIFS(Detalle_OT!$H$2:$H$592,Detalle_OT!$B$2:$B$592,A141,Detalle_OT!$C$2:$C$592,"Repuesto")</f>
        <v>528060</v>
      </c>
      <c r="Z141">
        <f>SUMIFS(Detalle_OT!$H$2:$H$592,Detalle_OT!$B$2:$B$592,A141,Detalle_OT!$C$2:$C$592,"Mano de Obra")</f>
        <v>200600</v>
      </c>
      <c r="AA141">
        <f t="shared" si="66"/>
        <v>296720</v>
      </c>
      <c r="AB141">
        <f t="shared" si="67"/>
        <v>0.28937564610193295</v>
      </c>
      <c r="AC141" t="str">
        <f t="shared" si="68"/>
        <v>Margen No Negativo Confirmado</v>
      </c>
      <c r="AD141" t="str">
        <f t="shared" si="69"/>
        <v>2026-09</v>
      </c>
      <c r="AE141" t="str">
        <f t="shared" si="70"/>
        <v>Semana 38</v>
      </c>
      <c r="AF141">
        <f t="shared" si="71"/>
        <v>27</v>
      </c>
      <c r="AG141">
        <f t="shared" si="72"/>
        <v>0</v>
      </c>
      <c r="AH141">
        <f>IF(AND(G141="",OR(I141="En Curso",I141="Reprogramada"),F141&lt;Dashboard!$B$5),1,0)</f>
        <v>0</v>
      </c>
      <c r="AI141">
        <f t="shared" si="73"/>
        <v>0</v>
      </c>
      <c r="AJ141">
        <f t="shared" si="74"/>
        <v>0</v>
      </c>
      <c r="AK141">
        <f>IF(SUMIFS(Detalle_OT!$J$2:$J$592,Detalle_OT!$B$2:$B$592,A141)&gt;0,1,0)</f>
        <v>0</v>
      </c>
      <c r="AL141">
        <f>IF(AND(OR(Dashboard!$D$5="Todos",AD141=Dashboard!$D$5),OR(Dashboard!$F$5="Todos",D141=Dashboard!$F$5),OR(Dashboard!$H$5="Todos",I141=Dashboard!$H$5)),1,0)</f>
        <v>1</v>
      </c>
      <c r="AM141">
        <f>IF(AND(OR(Control_Mandante!$C$4="Todos", AD141=Control_Mandante!$C$4), OR(Control_Mandante!$F$4="Todos", B141=Control_Mandante!$F$4), OR(Control_Mandante!$I$4="Todos", W141=Control_Mandante!$I$4), OR(Control_Mandante!$L$4="Todos", H141=Control_Mandante!$L$4)), 1, 0)</f>
        <v>1</v>
      </c>
      <c r="AN141" t="str">
        <f>IF(AH141=1, COUNTIF(AH$2:AH141, 1), "")</f>
        <v/>
      </c>
      <c r="AO141" t="str">
        <f>IF(AJ141=1, COUNTIF(AJ$2:AJ141, 1), "")</f>
        <v/>
      </c>
      <c r="AP141" t="str">
        <f>IF(AK141=1, COUNTIF(AK$2:AK141, 1), "")</f>
        <v/>
      </c>
    </row>
    <row r="142" spans="1:42" x14ac:dyDescent="0.25">
      <c r="A142" t="s">
        <v>968</v>
      </c>
      <c r="B142" t="s">
        <v>183</v>
      </c>
      <c r="C142" t="s">
        <v>969</v>
      </c>
      <c r="D142" t="s">
        <v>301</v>
      </c>
      <c r="E142" s="43">
        <v>46278</v>
      </c>
      <c r="F142" s="43">
        <v>46282</v>
      </c>
      <c r="G142" s="43">
        <v>46282</v>
      </c>
      <c r="H142" t="s">
        <v>229</v>
      </c>
      <c r="I142" t="s">
        <v>277</v>
      </c>
      <c r="J142" t="s">
        <v>970</v>
      </c>
      <c r="K142" s="43">
        <v>46278</v>
      </c>
      <c r="L142">
        <f t="shared" si="63"/>
        <v>614480</v>
      </c>
      <c r="M142" t="s">
        <v>279</v>
      </c>
      <c r="N142" t="s">
        <v>971</v>
      </c>
      <c r="O142" s="43">
        <v>46279</v>
      </c>
      <c r="P142">
        <f t="shared" si="75"/>
        <v>614480</v>
      </c>
      <c r="Q142" t="s">
        <v>281</v>
      </c>
      <c r="R142" t="s">
        <v>972</v>
      </c>
      <c r="S142" s="43">
        <v>46284</v>
      </c>
      <c r="T142">
        <f t="shared" si="76"/>
        <v>614480</v>
      </c>
      <c r="U142">
        <f>T142*0.5</f>
        <v>307240</v>
      </c>
      <c r="V142">
        <f t="shared" si="64"/>
        <v>307240</v>
      </c>
      <c r="W142" t="str">
        <f t="shared" si="65"/>
        <v>CUADRADO (3-WAY OK)</v>
      </c>
      <c r="X142">
        <f>SUMIFS(Detalle_OT!$I$2:$I$592,Detalle_OT!$B$2:$B$592,A142)</f>
        <v>614480</v>
      </c>
      <c r="Y142">
        <f>SUMIFS(Detalle_OT!$H$2:$H$592,Detalle_OT!$B$2:$B$592,A142,Detalle_OT!$C$2:$C$592,"Repuesto")</f>
        <v>426200</v>
      </c>
      <c r="Z142">
        <f>SUMIFS(Detalle_OT!$H$2:$H$592,Detalle_OT!$B$2:$B$592,A142,Detalle_OT!$C$2:$C$592,"Mano de Obra")</f>
        <v>215400</v>
      </c>
      <c r="AA142" t="str">
        <f t="shared" si="66"/>
        <v/>
      </c>
      <c r="AB142" t="str">
        <f t="shared" si="67"/>
        <v/>
      </c>
      <c r="AC142" t="str">
        <f t="shared" si="68"/>
        <v>Pendiente de Validación</v>
      </c>
      <c r="AD142" t="str">
        <f t="shared" si="69"/>
        <v>2026-09</v>
      </c>
      <c r="AE142" t="str">
        <f t="shared" si="70"/>
        <v>Semana 38</v>
      </c>
      <c r="AF142">
        <f t="shared" si="71"/>
        <v>4</v>
      </c>
      <c r="AG142">
        <f t="shared" si="72"/>
        <v>1</v>
      </c>
      <c r="AH142">
        <f>IF(AND(G142="",OR(I142="En Curso",I142="Reprogramada"),F142&lt;Dashboard!$B$5),1,0)</f>
        <v>0</v>
      </c>
      <c r="AI142">
        <f t="shared" si="73"/>
        <v>0</v>
      </c>
      <c r="AJ142">
        <f t="shared" si="74"/>
        <v>0</v>
      </c>
      <c r="AK142">
        <f>IF(SUMIFS(Detalle_OT!$J$2:$J$592,Detalle_OT!$B$2:$B$592,A142)&gt;0,1,0)</f>
        <v>1</v>
      </c>
      <c r="AL142">
        <f>IF(AND(OR(Dashboard!$D$5="Todos",AD142=Dashboard!$D$5),OR(Dashboard!$F$5="Todos",D142=Dashboard!$F$5),OR(Dashboard!$H$5="Todos",I142=Dashboard!$H$5)),1,0)</f>
        <v>1</v>
      </c>
      <c r="AM142">
        <f>IF(AND(OR(Control_Mandante!$C$4="Todos", AD142=Control_Mandante!$C$4), OR(Control_Mandante!$F$4="Todos", B142=Control_Mandante!$F$4), OR(Control_Mandante!$I$4="Todos", W142=Control_Mandante!$I$4), OR(Control_Mandante!$L$4="Todos", H142=Control_Mandante!$L$4)), 1, 0)</f>
        <v>1</v>
      </c>
      <c r="AN142" t="str">
        <f>IF(AH142=1, COUNTIF(AH$2:AH142, 1), "")</f>
        <v/>
      </c>
      <c r="AO142" t="str">
        <f>IF(AJ142=1, COUNTIF(AJ$2:AJ142, 1), "")</f>
        <v/>
      </c>
      <c r="AP142">
        <f>IF(AK142=1, COUNTIF(AK$2:AK142, 1), "")</f>
        <v>10</v>
      </c>
    </row>
    <row r="143" spans="1:42" x14ac:dyDescent="0.25">
      <c r="A143" t="s">
        <v>973</v>
      </c>
      <c r="B143" t="s">
        <v>159</v>
      </c>
      <c r="C143" t="s">
        <v>974</v>
      </c>
      <c r="D143" t="s">
        <v>295</v>
      </c>
      <c r="E143" s="43">
        <v>46280</v>
      </c>
      <c r="F143" s="43">
        <v>46297</v>
      </c>
      <c r="G143" s="43">
        <v>46297</v>
      </c>
      <c r="H143" t="s">
        <v>225</v>
      </c>
      <c r="I143" t="s">
        <v>277</v>
      </c>
      <c r="J143" t="s">
        <v>975</v>
      </c>
      <c r="K143" s="43">
        <v>46280</v>
      </c>
      <c r="L143">
        <f t="shared" si="63"/>
        <v>1297960</v>
      </c>
      <c r="M143" t="s">
        <v>279</v>
      </c>
      <c r="N143" t="s">
        <v>976</v>
      </c>
      <c r="O143" s="43">
        <v>46281</v>
      </c>
      <c r="P143">
        <f t="shared" si="75"/>
        <v>1297960</v>
      </c>
      <c r="Q143" t="s">
        <v>281</v>
      </c>
      <c r="R143" t="s">
        <v>977</v>
      </c>
      <c r="S143" s="43">
        <v>46299</v>
      </c>
      <c r="T143">
        <f t="shared" si="76"/>
        <v>1297960</v>
      </c>
      <c r="U143">
        <f>T143</f>
        <v>1297960</v>
      </c>
      <c r="V143">
        <f t="shared" si="64"/>
        <v>0</v>
      </c>
      <c r="W143" t="str">
        <f t="shared" si="65"/>
        <v>CUADRADO (3-WAY OK)</v>
      </c>
      <c r="X143">
        <f>SUMIFS(Detalle_OT!$I$2:$I$592,Detalle_OT!$B$2:$B$592,A143)</f>
        <v>1297960</v>
      </c>
      <c r="Y143">
        <f>SUMIFS(Detalle_OT!$H$2:$H$592,Detalle_OT!$B$2:$B$592,A143,Detalle_OT!$C$2:$C$592,"Repuesto")</f>
        <v>563360</v>
      </c>
      <c r="Z143">
        <f>SUMIFS(Detalle_OT!$H$2:$H$592,Detalle_OT!$B$2:$B$592,A143,Detalle_OT!$C$2:$C$592,"Mano de Obra")</f>
        <v>330000</v>
      </c>
      <c r="AA143">
        <f t="shared" si="66"/>
        <v>404600</v>
      </c>
      <c r="AB143">
        <f t="shared" si="67"/>
        <v>0.31171992973589324</v>
      </c>
      <c r="AC143" t="str">
        <f t="shared" si="68"/>
        <v>Margen No Negativo Confirmado</v>
      </c>
      <c r="AD143" t="str">
        <f t="shared" si="69"/>
        <v>2026-09</v>
      </c>
      <c r="AE143" t="str">
        <f t="shared" si="70"/>
        <v>Semana 38</v>
      </c>
      <c r="AF143">
        <f t="shared" si="71"/>
        <v>17</v>
      </c>
      <c r="AG143">
        <f t="shared" si="72"/>
        <v>1</v>
      </c>
      <c r="AH143">
        <f>IF(AND(G143="",OR(I143="En Curso",I143="Reprogramada"),F143&lt;Dashboard!$B$5),1,0)</f>
        <v>0</v>
      </c>
      <c r="AI143">
        <f t="shared" si="73"/>
        <v>0</v>
      </c>
      <c r="AJ143">
        <f t="shared" si="74"/>
        <v>0</v>
      </c>
      <c r="AK143">
        <f>IF(SUMIFS(Detalle_OT!$J$2:$J$592,Detalle_OT!$B$2:$B$592,A143)&gt;0,1,0)</f>
        <v>0</v>
      </c>
      <c r="AL143">
        <f>IF(AND(OR(Dashboard!$D$5="Todos",AD143=Dashboard!$D$5),OR(Dashboard!$F$5="Todos",D143=Dashboard!$F$5),OR(Dashboard!$H$5="Todos",I143=Dashboard!$H$5)),1,0)</f>
        <v>1</v>
      </c>
      <c r="AM143">
        <f>IF(AND(OR(Control_Mandante!$C$4="Todos", AD143=Control_Mandante!$C$4), OR(Control_Mandante!$F$4="Todos", B143=Control_Mandante!$F$4), OR(Control_Mandante!$I$4="Todos", W143=Control_Mandante!$I$4), OR(Control_Mandante!$L$4="Todos", H143=Control_Mandante!$L$4)), 1, 0)</f>
        <v>1</v>
      </c>
      <c r="AN143" t="str">
        <f>IF(AH143=1, COUNTIF(AH$2:AH143, 1), "")</f>
        <v/>
      </c>
      <c r="AO143" t="str">
        <f>IF(AJ143=1, COUNTIF(AJ$2:AJ143, 1), "")</f>
        <v/>
      </c>
      <c r="AP143" t="str">
        <f>IF(AK143=1, COUNTIF(AK$2:AK143, 1), "")</f>
        <v/>
      </c>
    </row>
    <row r="144" spans="1:42" x14ac:dyDescent="0.25">
      <c r="A144" t="s">
        <v>978</v>
      </c>
      <c r="B144" t="s">
        <v>168</v>
      </c>
      <c r="C144" t="s">
        <v>979</v>
      </c>
      <c r="D144" t="s">
        <v>276</v>
      </c>
      <c r="E144" s="43">
        <v>46281</v>
      </c>
      <c r="F144" s="43">
        <v>46285</v>
      </c>
      <c r="G144" s="43">
        <v>46285</v>
      </c>
      <c r="H144" t="s">
        <v>220</v>
      </c>
      <c r="I144" t="s">
        <v>277</v>
      </c>
      <c r="J144" t="s">
        <v>980</v>
      </c>
      <c r="K144" s="43">
        <v>46281</v>
      </c>
      <c r="L144">
        <f t="shared" si="63"/>
        <v>481890</v>
      </c>
      <c r="M144" t="s">
        <v>279</v>
      </c>
      <c r="N144" t="s">
        <v>981</v>
      </c>
      <c r="O144" s="43">
        <v>46282</v>
      </c>
      <c r="P144">
        <f t="shared" si="75"/>
        <v>481890</v>
      </c>
      <c r="Q144" t="s">
        <v>281</v>
      </c>
      <c r="R144" t="s">
        <v>982</v>
      </c>
      <c r="S144" s="43">
        <v>46287</v>
      </c>
      <c r="T144">
        <f t="shared" si="76"/>
        <v>481890</v>
      </c>
      <c r="U144">
        <f>T144</f>
        <v>481890</v>
      </c>
      <c r="V144">
        <f t="shared" si="64"/>
        <v>0</v>
      </c>
      <c r="W144" t="str">
        <f t="shared" si="65"/>
        <v>CUADRADO (3-WAY OK)</v>
      </c>
      <c r="X144">
        <f>SUMIFS(Detalle_OT!$I$2:$I$592,Detalle_OT!$B$2:$B$592,A144)</f>
        <v>481890</v>
      </c>
      <c r="Y144">
        <f>SUMIFS(Detalle_OT!$H$2:$H$592,Detalle_OT!$B$2:$B$592,A144,Detalle_OT!$C$2:$C$592,"Repuesto")</f>
        <v>242760</v>
      </c>
      <c r="Z144">
        <f>SUMIFS(Detalle_OT!$H$2:$H$592,Detalle_OT!$B$2:$B$592,A144,Detalle_OT!$C$2:$C$592,"Mano de Obra")</f>
        <v>81600</v>
      </c>
      <c r="AA144">
        <f t="shared" si="66"/>
        <v>157530</v>
      </c>
      <c r="AB144">
        <f t="shared" si="67"/>
        <v>0.32690032995081864</v>
      </c>
      <c r="AC144" t="str">
        <f t="shared" si="68"/>
        <v>Margen No Negativo Confirmado</v>
      </c>
      <c r="AD144" t="str">
        <f t="shared" si="69"/>
        <v>2026-09</v>
      </c>
      <c r="AE144" t="str">
        <f t="shared" si="70"/>
        <v>Semana 38</v>
      </c>
      <c r="AF144">
        <f t="shared" si="71"/>
        <v>4</v>
      </c>
      <c r="AG144">
        <f t="shared" si="72"/>
        <v>1</v>
      </c>
      <c r="AH144">
        <f>IF(AND(G144="",OR(I144="En Curso",I144="Reprogramada"),F144&lt;Dashboard!$B$5),1,0)</f>
        <v>0</v>
      </c>
      <c r="AI144">
        <f t="shared" si="73"/>
        <v>0</v>
      </c>
      <c r="AJ144">
        <f t="shared" si="74"/>
        <v>0</v>
      </c>
      <c r="AK144">
        <f>IF(SUMIFS(Detalle_OT!$J$2:$J$592,Detalle_OT!$B$2:$B$592,A144)&gt;0,1,0)</f>
        <v>0</v>
      </c>
      <c r="AL144">
        <f>IF(AND(OR(Dashboard!$D$5="Todos",AD144=Dashboard!$D$5),OR(Dashboard!$F$5="Todos",D144=Dashboard!$F$5),OR(Dashboard!$H$5="Todos",I144=Dashboard!$H$5)),1,0)</f>
        <v>1</v>
      </c>
      <c r="AM144">
        <f>IF(AND(OR(Control_Mandante!$C$4="Todos", AD144=Control_Mandante!$C$4), OR(Control_Mandante!$F$4="Todos", B144=Control_Mandante!$F$4), OR(Control_Mandante!$I$4="Todos", W144=Control_Mandante!$I$4), OR(Control_Mandante!$L$4="Todos", H144=Control_Mandante!$L$4)), 1, 0)</f>
        <v>1</v>
      </c>
      <c r="AN144" t="str">
        <f>IF(AH144=1, COUNTIF(AH$2:AH144, 1), "")</f>
        <v/>
      </c>
      <c r="AO144" t="str">
        <f>IF(AJ144=1, COUNTIF(AJ$2:AJ144, 1), "")</f>
        <v/>
      </c>
      <c r="AP144" t="str">
        <f>IF(AK144=1, COUNTIF(AK$2:AK144, 1), "")</f>
        <v/>
      </c>
    </row>
    <row r="145" spans="1:42" x14ac:dyDescent="0.25">
      <c r="A145" t="s">
        <v>983</v>
      </c>
      <c r="B145" t="s">
        <v>187</v>
      </c>
      <c r="C145" t="s">
        <v>984</v>
      </c>
      <c r="D145" t="s">
        <v>276</v>
      </c>
      <c r="E145" s="43">
        <v>46282</v>
      </c>
      <c r="F145" s="43">
        <v>46285</v>
      </c>
      <c r="G145" s="43">
        <v>46283</v>
      </c>
      <c r="H145" t="s">
        <v>215</v>
      </c>
      <c r="I145" t="s">
        <v>277</v>
      </c>
      <c r="J145" t="s">
        <v>985</v>
      </c>
      <c r="K145" s="43">
        <v>46282</v>
      </c>
      <c r="L145">
        <f t="shared" si="63"/>
        <v>388760</v>
      </c>
      <c r="M145" t="s">
        <v>279</v>
      </c>
      <c r="N145" t="s">
        <v>986</v>
      </c>
      <c r="O145" s="43">
        <v>46283</v>
      </c>
      <c r="P145">
        <f t="shared" si="75"/>
        <v>388760</v>
      </c>
      <c r="Q145" t="s">
        <v>281</v>
      </c>
      <c r="R145" t="s">
        <v>987</v>
      </c>
      <c r="S145" s="43">
        <v>46285</v>
      </c>
      <c r="T145">
        <f t="shared" si="76"/>
        <v>388760</v>
      </c>
      <c r="U145">
        <f>T145*0.5</f>
        <v>194380</v>
      </c>
      <c r="V145">
        <f t="shared" si="64"/>
        <v>194380</v>
      </c>
      <c r="W145" t="str">
        <f t="shared" si="65"/>
        <v>CUADRADO (3-WAY OK)</v>
      </c>
      <c r="X145">
        <f>SUMIFS(Detalle_OT!$I$2:$I$592,Detalle_OT!$B$2:$B$592,A145)</f>
        <v>388760</v>
      </c>
      <c r="Y145">
        <f>SUMIFS(Detalle_OT!$H$2:$H$592,Detalle_OT!$B$2:$B$592,A145,Detalle_OT!$C$2:$C$592,"Repuesto")</f>
        <v>408790</v>
      </c>
      <c r="Z145">
        <f>SUMIFS(Detalle_OT!$H$2:$H$592,Detalle_OT!$B$2:$B$592,A145,Detalle_OT!$C$2:$C$592,"Mano de Obra")</f>
        <v>71800</v>
      </c>
      <c r="AA145">
        <f t="shared" si="66"/>
        <v>-91830</v>
      </c>
      <c r="AB145">
        <f t="shared" si="67"/>
        <v>-0.23621257331001133</v>
      </c>
      <c r="AC145" t="str">
        <f t="shared" si="68"/>
        <v>Margen Negativo Confirmado</v>
      </c>
      <c r="AD145" t="str">
        <f t="shared" si="69"/>
        <v>2026-09</v>
      </c>
      <c r="AE145" t="str">
        <f t="shared" si="70"/>
        <v>Semana 38</v>
      </c>
      <c r="AF145">
        <f t="shared" si="71"/>
        <v>1</v>
      </c>
      <c r="AG145">
        <f t="shared" si="72"/>
        <v>1</v>
      </c>
      <c r="AH145">
        <f>IF(AND(G145="",OR(I145="En Curso",I145="Reprogramada"),F145&lt;Dashboard!$B$5),1,0)</f>
        <v>0</v>
      </c>
      <c r="AI145">
        <f t="shared" si="73"/>
        <v>0</v>
      </c>
      <c r="AJ145">
        <f t="shared" si="74"/>
        <v>0</v>
      </c>
      <c r="AK145">
        <f>IF(SUMIFS(Detalle_OT!$J$2:$J$592,Detalle_OT!$B$2:$B$592,A145)&gt;0,1,0)</f>
        <v>0</v>
      </c>
      <c r="AL145">
        <f>IF(AND(OR(Dashboard!$D$5="Todos",AD145=Dashboard!$D$5),OR(Dashboard!$F$5="Todos",D145=Dashboard!$F$5),OR(Dashboard!$H$5="Todos",I145=Dashboard!$H$5)),1,0)</f>
        <v>1</v>
      </c>
      <c r="AM145">
        <f>IF(AND(OR(Control_Mandante!$C$4="Todos", AD145=Control_Mandante!$C$4), OR(Control_Mandante!$F$4="Todos", B145=Control_Mandante!$F$4), OR(Control_Mandante!$I$4="Todos", W145=Control_Mandante!$I$4), OR(Control_Mandante!$L$4="Todos", H145=Control_Mandante!$L$4)), 1, 0)</f>
        <v>1</v>
      </c>
      <c r="AN145" t="str">
        <f>IF(AH145=1, COUNTIF(AH$2:AH145, 1), "")</f>
        <v/>
      </c>
      <c r="AO145" t="str">
        <f>IF(AJ145=1, COUNTIF(AJ$2:AJ145, 1), "")</f>
        <v/>
      </c>
      <c r="AP145" t="str">
        <f>IF(AK145=1, COUNTIF(AK$2:AK145, 1), "")</f>
        <v/>
      </c>
    </row>
    <row r="146" spans="1:42" x14ac:dyDescent="0.25">
      <c r="A146" t="s">
        <v>988</v>
      </c>
      <c r="B146" t="s">
        <v>200</v>
      </c>
      <c r="C146" t="s">
        <v>989</v>
      </c>
      <c r="D146" t="s">
        <v>295</v>
      </c>
      <c r="E146" s="43">
        <v>46282</v>
      </c>
      <c r="F146" s="43">
        <v>46298</v>
      </c>
      <c r="G146" s="43">
        <v>46305</v>
      </c>
      <c r="H146" t="s">
        <v>222</v>
      </c>
      <c r="I146" t="s">
        <v>277</v>
      </c>
      <c r="J146" t="s">
        <v>990</v>
      </c>
      <c r="K146" s="43">
        <v>46282</v>
      </c>
      <c r="L146">
        <f t="shared" si="63"/>
        <v>984620</v>
      </c>
      <c r="M146" t="s">
        <v>279</v>
      </c>
      <c r="N146" t="s">
        <v>991</v>
      </c>
      <c r="O146" s="43">
        <v>46283</v>
      </c>
      <c r="P146">
        <f t="shared" si="75"/>
        <v>984620</v>
      </c>
      <c r="Q146" t="s">
        <v>281</v>
      </c>
      <c r="R146" t="s">
        <v>992</v>
      </c>
      <c r="S146" s="43">
        <v>46307</v>
      </c>
      <c r="T146">
        <f t="shared" si="76"/>
        <v>984620</v>
      </c>
      <c r="U146">
        <f>T146</f>
        <v>984620</v>
      </c>
      <c r="V146">
        <f t="shared" si="64"/>
        <v>0</v>
      </c>
      <c r="W146" t="str">
        <f t="shared" si="65"/>
        <v>CUADRADO (3-WAY OK)</v>
      </c>
      <c r="X146">
        <f>SUMIFS(Detalle_OT!$I$2:$I$592,Detalle_OT!$B$2:$B$592,A146)</f>
        <v>984620</v>
      </c>
      <c r="Y146">
        <f>SUMIFS(Detalle_OT!$H$2:$H$592,Detalle_OT!$B$2:$B$592,A146,Detalle_OT!$C$2:$C$592,"Repuesto")</f>
        <v>911180</v>
      </c>
      <c r="Z146">
        <f>SUMIFS(Detalle_OT!$H$2:$H$592,Detalle_OT!$B$2:$B$592,A146,Detalle_OT!$C$2:$C$592,"Mano de Obra")</f>
        <v>452500</v>
      </c>
      <c r="AA146" t="str">
        <f t="shared" si="66"/>
        <v/>
      </c>
      <c r="AB146" t="str">
        <f t="shared" si="67"/>
        <v/>
      </c>
      <c r="AC146" t="str">
        <f t="shared" si="68"/>
        <v>Pendiente de Validación</v>
      </c>
      <c r="AD146" t="str">
        <f t="shared" si="69"/>
        <v>2026-09</v>
      </c>
      <c r="AE146" t="str">
        <f t="shared" si="70"/>
        <v>Semana 38</v>
      </c>
      <c r="AF146">
        <f t="shared" si="71"/>
        <v>23</v>
      </c>
      <c r="AG146">
        <f t="shared" si="72"/>
        <v>0</v>
      </c>
      <c r="AH146">
        <f>IF(AND(G146="",OR(I146="En Curso",I146="Reprogramada"),F146&lt;Dashboard!$B$5),1,0)</f>
        <v>0</v>
      </c>
      <c r="AI146">
        <f t="shared" si="73"/>
        <v>0</v>
      </c>
      <c r="AJ146">
        <f t="shared" si="74"/>
        <v>0</v>
      </c>
      <c r="AK146">
        <f>IF(SUMIFS(Detalle_OT!$J$2:$J$592,Detalle_OT!$B$2:$B$592,A146)&gt;0,1,0)</f>
        <v>1</v>
      </c>
      <c r="AL146">
        <f>IF(AND(OR(Dashboard!$D$5="Todos",AD146=Dashboard!$D$5),OR(Dashboard!$F$5="Todos",D146=Dashboard!$F$5),OR(Dashboard!$H$5="Todos",I146=Dashboard!$H$5)),1,0)</f>
        <v>1</v>
      </c>
      <c r="AM146">
        <f>IF(AND(OR(Control_Mandante!$C$4="Todos", AD146=Control_Mandante!$C$4), OR(Control_Mandante!$F$4="Todos", B146=Control_Mandante!$F$4), OR(Control_Mandante!$I$4="Todos", W146=Control_Mandante!$I$4), OR(Control_Mandante!$L$4="Todos", H146=Control_Mandante!$L$4)), 1, 0)</f>
        <v>1</v>
      </c>
      <c r="AN146" t="str">
        <f>IF(AH146=1, COUNTIF(AH$2:AH146, 1), "")</f>
        <v/>
      </c>
      <c r="AO146" t="str">
        <f>IF(AJ146=1, COUNTIF(AJ$2:AJ146, 1), "")</f>
        <v/>
      </c>
      <c r="AP146">
        <f>IF(AK146=1, COUNTIF(AK$2:AK146, 1), "")</f>
        <v>11</v>
      </c>
    </row>
    <row r="147" spans="1:42" x14ac:dyDescent="0.25">
      <c r="A147" t="s">
        <v>993</v>
      </c>
      <c r="B147" t="s">
        <v>168</v>
      </c>
      <c r="C147" t="s">
        <v>994</v>
      </c>
      <c r="D147" t="s">
        <v>295</v>
      </c>
      <c r="E147" s="43">
        <v>46282</v>
      </c>
      <c r="F147" s="43">
        <v>46295</v>
      </c>
      <c r="G147" s="43">
        <v>46301</v>
      </c>
      <c r="H147" t="s">
        <v>222</v>
      </c>
      <c r="I147" t="s">
        <v>277</v>
      </c>
      <c r="J147" t="s">
        <v>995</v>
      </c>
      <c r="K147" s="43">
        <v>46282</v>
      </c>
      <c r="L147">
        <f t="shared" si="63"/>
        <v>2689580</v>
      </c>
      <c r="M147" t="s">
        <v>279</v>
      </c>
      <c r="N147" t="s">
        <v>996</v>
      </c>
      <c r="O147" s="43">
        <v>46283</v>
      </c>
      <c r="P147">
        <f t="shared" si="75"/>
        <v>2689580</v>
      </c>
      <c r="Q147" t="s">
        <v>281</v>
      </c>
      <c r="R147" t="s">
        <v>997</v>
      </c>
      <c r="S147" s="43">
        <v>46303</v>
      </c>
      <c r="T147">
        <f t="shared" si="76"/>
        <v>2689580</v>
      </c>
      <c r="U147">
        <f>T147</f>
        <v>2689580</v>
      </c>
      <c r="V147">
        <f t="shared" si="64"/>
        <v>0</v>
      </c>
      <c r="W147" t="str">
        <f t="shared" si="65"/>
        <v>CUADRADO (3-WAY OK)</v>
      </c>
      <c r="X147">
        <f>SUMIFS(Detalle_OT!$I$2:$I$592,Detalle_OT!$B$2:$B$592,A147)</f>
        <v>2689580</v>
      </c>
      <c r="Y147">
        <f>SUMIFS(Detalle_OT!$H$2:$H$592,Detalle_OT!$B$2:$B$592,A147,Detalle_OT!$C$2:$C$592,"Repuesto")</f>
        <v>1383600</v>
      </c>
      <c r="Z147">
        <f>SUMIFS(Detalle_OT!$H$2:$H$592,Detalle_OT!$B$2:$B$592,A147,Detalle_OT!$C$2:$C$592,"Mano de Obra")</f>
        <v>595000</v>
      </c>
      <c r="AA147">
        <f t="shared" si="66"/>
        <v>710980</v>
      </c>
      <c r="AB147">
        <f t="shared" si="67"/>
        <v>0.26434610608347769</v>
      </c>
      <c r="AC147" t="str">
        <f t="shared" si="68"/>
        <v>Margen No Negativo Confirmado</v>
      </c>
      <c r="AD147" t="str">
        <f t="shared" si="69"/>
        <v>2026-09</v>
      </c>
      <c r="AE147" t="str">
        <f t="shared" si="70"/>
        <v>Semana 38</v>
      </c>
      <c r="AF147">
        <f t="shared" si="71"/>
        <v>19</v>
      </c>
      <c r="AG147">
        <f t="shared" si="72"/>
        <v>0</v>
      </c>
      <c r="AH147">
        <f>IF(AND(G147="",OR(I147="En Curso",I147="Reprogramada"),F147&lt;Dashboard!$B$5),1,0)</f>
        <v>0</v>
      </c>
      <c r="AI147">
        <f t="shared" si="73"/>
        <v>0</v>
      </c>
      <c r="AJ147">
        <f t="shared" si="74"/>
        <v>0</v>
      </c>
      <c r="AK147">
        <f>IF(SUMIFS(Detalle_OT!$J$2:$J$592,Detalle_OT!$B$2:$B$592,A147)&gt;0,1,0)</f>
        <v>0</v>
      </c>
      <c r="AL147">
        <f>IF(AND(OR(Dashboard!$D$5="Todos",AD147=Dashboard!$D$5),OR(Dashboard!$F$5="Todos",D147=Dashboard!$F$5),OR(Dashboard!$H$5="Todos",I147=Dashboard!$H$5)),1,0)</f>
        <v>1</v>
      </c>
      <c r="AM147">
        <f>IF(AND(OR(Control_Mandante!$C$4="Todos", AD147=Control_Mandante!$C$4), OR(Control_Mandante!$F$4="Todos", B147=Control_Mandante!$F$4), OR(Control_Mandante!$I$4="Todos", W147=Control_Mandante!$I$4), OR(Control_Mandante!$L$4="Todos", H147=Control_Mandante!$L$4)), 1, 0)</f>
        <v>1</v>
      </c>
      <c r="AN147" t="str">
        <f>IF(AH147=1, COUNTIF(AH$2:AH147, 1), "")</f>
        <v/>
      </c>
      <c r="AO147" t="str">
        <f>IF(AJ147=1, COUNTIF(AJ$2:AJ147, 1), "")</f>
        <v/>
      </c>
      <c r="AP147" t="str">
        <f>IF(AK147=1, COUNTIF(AK$2:AK147, 1), "")</f>
        <v/>
      </c>
    </row>
    <row r="148" spans="1:42" x14ac:dyDescent="0.25">
      <c r="A148" t="s">
        <v>998</v>
      </c>
      <c r="B148" t="s">
        <v>187</v>
      </c>
      <c r="C148" t="s">
        <v>999</v>
      </c>
      <c r="D148" t="s">
        <v>276</v>
      </c>
      <c r="E148" s="43">
        <v>46282</v>
      </c>
      <c r="F148" s="43">
        <v>46286</v>
      </c>
      <c r="G148" s="43">
        <v>46286</v>
      </c>
      <c r="H148" t="s">
        <v>229</v>
      </c>
      <c r="I148" t="s">
        <v>277</v>
      </c>
      <c r="J148" t="s">
        <v>1000</v>
      </c>
      <c r="K148" s="43">
        <v>46282</v>
      </c>
      <c r="L148">
        <f t="shared" si="63"/>
        <v>225800</v>
      </c>
      <c r="M148" t="s">
        <v>279</v>
      </c>
      <c r="N148" t="s">
        <v>1001</v>
      </c>
      <c r="O148" s="43">
        <v>46283</v>
      </c>
      <c r="P148">
        <f t="shared" si="75"/>
        <v>225800</v>
      </c>
      <c r="Q148" t="s">
        <v>281</v>
      </c>
      <c r="R148" t="s">
        <v>1002</v>
      </c>
      <c r="S148" s="43">
        <v>46288</v>
      </c>
      <c r="T148">
        <f t="shared" si="76"/>
        <v>225800</v>
      </c>
      <c r="U148">
        <f>T148*0.5</f>
        <v>112900</v>
      </c>
      <c r="V148">
        <f t="shared" si="64"/>
        <v>112900</v>
      </c>
      <c r="W148" t="str">
        <f t="shared" si="65"/>
        <v>CUADRADO (3-WAY OK)</v>
      </c>
      <c r="X148">
        <f>SUMIFS(Detalle_OT!$I$2:$I$592,Detalle_OT!$B$2:$B$592,A148)</f>
        <v>225800</v>
      </c>
      <c r="Y148">
        <f>SUMIFS(Detalle_OT!$H$2:$H$592,Detalle_OT!$B$2:$B$592,A148,Detalle_OT!$C$2:$C$592,"Repuesto")</f>
        <v>29500</v>
      </c>
      <c r="Z148">
        <f>SUMIFS(Detalle_OT!$H$2:$H$592,Detalle_OT!$B$2:$B$592,A148,Detalle_OT!$C$2:$C$592,"Mano de Obra")</f>
        <v>89200</v>
      </c>
      <c r="AA148">
        <f t="shared" si="66"/>
        <v>107100</v>
      </c>
      <c r="AB148">
        <f t="shared" si="67"/>
        <v>0.47431355181576618</v>
      </c>
      <c r="AC148" t="str">
        <f t="shared" si="68"/>
        <v>Margen No Negativo Confirmado</v>
      </c>
      <c r="AD148" t="str">
        <f t="shared" si="69"/>
        <v>2026-09</v>
      </c>
      <c r="AE148" t="str">
        <f t="shared" si="70"/>
        <v>Semana 38</v>
      </c>
      <c r="AF148">
        <f t="shared" si="71"/>
        <v>4</v>
      </c>
      <c r="AG148">
        <f t="shared" si="72"/>
        <v>1</v>
      </c>
      <c r="AH148">
        <f>IF(AND(G148="",OR(I148="En Curso",I148="Reprogramada"),F148&lt;Dashboard!$B$5),1,0)</f>
        <v>0</v>
      </c>
      <c r="AI148">
        <f t="shared" si="73"/>
        <v>0</v>
      </c>
      <c r="AJ148">
        <f t="shared" si="74"/>
        <v>0</v>
      </c>
      <c r="AK148">
        <f>IF(SUMIFS(Detalle_OT!$J$2:$J$592,Detalle_OT!$B$2:$B$592,A148)&gt;0,1,0)</f>
        <v>0</v>
      </c>
      <c r="AL148">
        <f>IF(AND(OR(Dashboard!$D$5="Todos",AD148=Dashboard!$D$5),OR(Dashboard!$F$5="Todos",D148=Dashboard!$F$5),OR(Dashboard!$H$5="Todos",I148=Dashboard!$H$5)),1,0)</f>
        <v>1</v>
      </c>
      <c r="AM148">
        <f>IF(AND(OR(Control_Mandante!$C$4="Todos", AD148=Control_Mandante!$C$4), OR(Control_Mandante!$F$4="Todos", B148=Control_Mandante!$F$4), OR(Control_Mandante!$I$4="Todos", W148=Control_Mandante!$I$4), OR(Control_Mandante!$L$4="Todos", H148=Control_Mandante!$L$4)), 1, 0)</f>
        <v>1</v>
      </c>
      <c r="AN148" t="str">
        <f>IF(AH148=1, COUNTIF(AH$2:AH148, 1), "")</f>
        <v/>
      </c>
      <c r="AO148" t="str">
        <f>IF(AJ148=1, COUNTIF(AJ$2:AJ148, 1), "")</f>
        <v/>
      </c>
      <c r="AP148" t="str">
        <f>IF(AK148=1, COUNTIF(AK$2:AK148, 1), "")</f>
        <v/>
      </c>
    </row>
    <row r="149" spans="1:42" x14ac:dyDescent="0.25">
      <c r="A149" t="s">
        <v>1003</v>
      </c>
      <c r="B149" t="s">
        <v>196</v>
      </c>
      <c r="C149" t="s">
        <v>1004</v>
      </c>
      <c r="D149" t="s">
        <v>276</v>
      </c>
      <c r="E149" s="43">
        <v>46283</v>
      </c>
      <c r="F149" s="43">
        <v>46285</v>
      </c>
      <c r="G149" s="43">
        <v>46284</v>
      </c>
      <c r="H149" t="s">
        <v>218</v>
      </c>
      <c r="I149" t="s">
        <v>277</v>
      </c>
      <c r="J149" t="s">
        <v>1005</v>
      </c>
      <c r="K149" s="43">
        <v>46283</v>
      </c>
      <c r="L149">
        <f t="shared" si="63"/>
        <v>186360</v>
      </c>
      <c r="M149" t="s">
        <v>279</v>
      </c>
      <c r="N149" t="s">
        <v>1006</v>
      </c>
      <c r="O149" s="43">
        <v>46284</v>
      </c>
      <c r="P149">
        <f t="shared" si="75"/>
        <v>186360</v>
      </c>
      <c r="Q149" t="s">
        <v>281</v>
      </c>
      <c r="R149" t="s">
        <v>1007</v>
      </c>
      <c r="S149" s="43">
        <v>46286</v>
      </c>
      <c r="T149">
        <f t="shared" si="76"/>
        <v>186360</v>
      </c>
      <c r="U149">
        <f>T149</f>
        <v>186360</v>
      </c>
      <c r="V149">
        <f t="shared" si="64"/>
        <v>0</v>
      </c>
      <c r="W149" t="str">
        <f t="shared" si="65"/>
        <v>CUADRADO (3-WAY OK)</v>
      </c>
      <c r="X149">
        <f>SUMIFS(Detalle_OT!$I$2:$I$592,Detalle_OT!$B$2:$B$592,A149)</f>
        <v>186360</v>
      </c>
      <c r="Y149">
        <f>SUMIFS(Detalle_OT!$H$2:$H$592,Detalle_OT!$B$2:$B$592,A149,Detalle_OT!$C$2:$C$592,"Repuesto")</f>
        <v>67200</v>
      </c>
      <c r="Z149">
        <f>SUMIFS(Detalle_OT!$H$2:$H$592,Detalle_OT!$B$2:$B$592,A149,Detalle_OT!$C$2:$C$592,"Mano de Obra")</f>
        <v>49000</v>
      </c>
      <c r="AA149">
        <f t="shared" si="66"/>
        <v>70160</v>
      </c>
      <c r="AB149">
        <f t="shared" si="67"/>
        <v>0.37647563854904487</v>
      </c>
      <c r="AC149" t="str">
        <f t="shared" si="68"/>
        <v>Margen No Negativo Confirmado</v>
      </c>
      <c r="AD149" t="str">
        <f t="shared" si="69"/>
        <v>2026-09</v>
      </c>
      <c r="AE149" t="str">
        <f t="shared" si="70"/>
        <v>Semana 38</v>
      </c>
      <c r="AF149">
        <f t="shared" si="71"/>
        <v>1</v>
      </c>
      <c r="AG149">
        <f t="shared" si="72"/>
        <v>1</v>
      </c>
      <c r="AH149">
        <f>IF(AND(G149="",OR(I149="En Curso",I149="Reprogramada"),F149&lt;Dashboard!$B$5),1,0)</f>
        <v>0</v>
      </c>
      <c r="AI149">
        <f t="shared" si="73"/>
        <v>0</v>
      </c>
      <c r="AJ149">
        <f t="shared" si="74"/>
        <v>0</v>
      </c>
      <c r="AK149">
        <f>IF(SUMIFS(Detalle_OT!$J$2:$J$592,Detalle_OT!$B$2:$B$592,A149)&gt;0,1,0)</f>
        <v>0</v>
      </c>
      <c r="AL149">
        <f>IF(AND(OR(Dashboard!$D$5="Todos",AD149=Dashboard!$D$5),OR(Dashboard!$F$5="Todos",D149=Dashboard!$F$5),OR(Dashboard!$H$5="Todos",I149=Dashboard!$H$5)),1,0)</f>
        <v>1</v>
      </c>
      <c r="AM149">
        <f>IF(AND(OR(Control_Mandante!$C$4="Todos", AD149=Control_Mandante!$C$4), OR(Control_Mandante!$F$4="Todos", B149=Control_Mandante!$F$4), OR(Control_Mandante!$I$4="Todos", W149=Control_Mandante!$I$4), OR(Control_Mandante!$L$4="Todos", H149=Control_Mandante!$L$4)), 1, 0)</f>
        <v>1</v>
      </c>
      <c r="AN149" t="str">
        <f>IF(AH149=1, COUNTIF(AH$2:AH149, 1), "")</f>
        <v/>
      </c>
      <c r="AO149" t="str">
        <f>IF(AJ149=1, COUNTIF(AJ$2:AJ149, 1), "")</f>
        <v/>
      </c>
      <c r="AP149" t="str">
        <f>IF(AK149=1, COUNTIF(AK$2:AK149, 1), "")</f>
        <v/>
      </c>
    </row>
    <row r="150" spans="1:42" x14ac:dyDescent="0.25">
      <c r="A150" t="s">
        <v>1008</v>
      </c>
      <c r="B150" t="s">
        <v>193</v>
      </c>
      <c r="C150" t="s">
        <v>1009</v>
      </c>
      <c r="D150" t="s">
        <v>295</v>
      </c>
      <c r="E150" s="43">
        <v>46283</v>
      </c>
      <c r="F150" s="43">
        <v>46301</v>
      </c>
      <c r="H150" t="s">
        <v>227</v>
      </c>
      <c r="I150" t="s">
        <v>592</v>
      </c>
      <c r="J150" t="s">
        <v>1010</v>
      </c>
      <c r="K150" s="43">
        <v>46283</v>
      </c>
      <c r="L150">
        <f t="shared" si="63"/>
        <v>2057220</v>
      </c>
      <c r="M150" t="s">
        <v>279</v>
      </c>
      <c r="N150" t="s">
        <v>1011</v>
      </c>
      <c r="O150" s="43">
        <v>46284</v>
      </c>
      <c r="P150">
        <f t="shared" si="75"/>
        <v>2057220</v>
      </c>
      <c r="Q150" t="s">
        <v>281</v>
      </c>
      <c r="T150">
        <v>0</v>
      </c>
      <c r="U150">
        <v>0</v>
      </c>
      <c r="V150">
        <f t="shared" si="64"/>
        <v>0</v>
      </c>
      <c r="W150" t="str">
        <f t="shared" si="65"/>
        <v>OC Recibida - Pendiente Factura</v>
      </c>
      <c r="X150">
        <f>SUMIFS(Detalle_OT!$I$2:$I$592,Detalle_OT!$B$2:$B$592,A150)</f>
        <v>2057220</v>
      </c>
      <c r="Y150">
        <f>SUMIFS(Detalle_OT!$H$2:$H$592,Detalle_OT!$B$2:$B$592,A150,Detalle_OT!$C$2:$C$592,"Repuesto")</f>
        <v>604470</v>
      </c>
      <c r="Z150">
        <f>SUMIFS(Detalle_OT!$H$2:$H$592,Detalle_OT!$B$2:$B$592,A150,Detalle_OT!$C$2:$C$592,"Mano de Obra")</f>
        <v>697000</v>
      </c>
      <c r="AA150">
        <f t="shared" si="66"/>
        <v>755750</v>
      </c>
      <c r="AB150">
        <f t="shared" si="67"/>
        <v>0.36736469604612049</v>
      </c>
      <c r="AC150" t="str">
        <f t="shared" si="68"/>
        <v>Margen No Negativo Confirmado</v>
      </c>
      <c r="AD150" t="str">
        <f t="shared" si="69"/>
        <v>2026-09</v>
      </c>
      <c r="AE150" t="str">
        <f t="shared" si="70"/>
        <v>Semana 38</v>
      </c>
      <c r="AF150" t="str">
        <f t="shared" si="71"/>
        <v/>
      </c>
      <c r="AG150" t="str">
        <f t="shared" si="72"/>
        <v/>
      </c>
      <c r="AH150">
        <f>IF(AND(G150="",OR(I150="En Curso",I150="Reprogramada"),F150&lt;Dashboard!$B$5),1,0)</f>
        <v>1</v>
      </c>
      <c r="AI150">
        <f t="shared" si="73"/>
        <v>0</v>
      </c>
      <c r="AJ150">
        <f t="shared" si="74"/>
        <v>0</v>
      </c>
      <c r="AK150">
        <f>IF(SUMIFS(Detalle_OT!$J$2:$J$592,Detalle_OT!$B$2:$B$592,A150)&gt;0,1,0)</f>
        <v>0</v>
      </c>
      <c r="AL150">
        <f>IF(AND(OR(Dashboard!$D$5="Todos",AD150=Dashboard!$D$5),OR(Dashboard!$F$5="Todos",D150=Dashboard!$F$5),OR(Dashboard!$H$5="Todos",I150=Dashboard!$H$5)),1,0)</f>
        <v>1</v>
      </c>
      <c r="AM150">
        <f>IF(AND(OR(Control_Mandante!$C$4="Todos", AD150=Control_Mandante!$C$4), OR(Control_Mandante!$F$4="Todos", B150=Control_Mandante!$F$4), OR(Control_Mandante!$I$4="Todos", W150=Control_Mandante!$I$4), OR(Control_Mandante!$L$4="Todos", H150=Control_Mandante!$L$4)), 1, 0)</f>
        <v>1</v>
      </c>
      <c r="AN150">
        <f>IF(AH150=1, COUNTIF(AH$2:AH150, 1), "")</f>
        <v>10</v>
      </c>
      <c r="AO150" t="str">
        <f>IF(AJ150=1, COUNTIF(AJ$2:AJ150, 1), "")</f>
        <v/>
      </c>
      <c r="AP150" t="str">
        <f>IF(AK150=1, COUNTIF(AK$2:AK150, 1), "")</f>
        <v/>
      </c>
    </row>
    <row r="151" spans="1:42" x14ac:dyDescent="0.25">
      <c r="A151" t="s">
        <v>1012</v>
      </c>
      <c r="B151" t="s">
        <v>190</v>
      </c>
      <c r="C151" t="s">
        <v>1013</v>
      </c>
      <c r="D151" t="s">
        <v>301</v>
      </c>
      <c r="E151" s="43">
        <v>46285</v>
      </c>
      <c r="F151" s="43">
        <v>46292</v>
      </c>
      <c r="G151" s="43">
        <v>46298</v>
      </c>
      <c r="H151" t="s">
        <v>218</v>
      </c>
      <c r="I151" t="s">
        <v>277</v>
      </c>
      <c r="J151" t="s">
        <v>1014</v>
      </c>
      <c r="K151" s="43">
        <v>46285</v>
      </c>
      <c r="L151">
        <f t="shared" si="63"/>
        <v>467850</v>
      </c>
      <c r="M151" t="s">
        <v>279</v>
      </c>
      <c r="N151" t="s">
        <v>1015</v>
      </c>
      <c r="O151" s="43">
        <v>46286</v>
      </c>
      <c r="P151">
        <f t="shared" si="75"/>
        <v>467850</v>
      </c>
      <c r="Q151" t="s">
        <v>281</v>
      </c>
      <c r="R151" t="s">
        <v>1016</v>
      </c>
      <c r="S151" s="43">
        <v>46300</v>
      </c>
      <c r="T151">
        <f t="shared" ref="T151:T159" si="77">X151</f>
        <v>467850</v>
      </c>
      <c r="U151">
        <f>T151*0.5</f>
        <v>233925</v>
      </c>
      <c r="V151">
        <f t="shared" si="64"/>
        <v>233925</v>
      </c>
      <c r="W151" t="str">
        <f t="shared" si="65"/>
        <v>CUADRADO (3-WAY OK)</v>
      </c>
      <c r="X151">
        <f>SUMIFS(Detalle_OT!$I$2:$I$592,Detalle_OT!$B$2:$B$592,A151)</f>
        <v>467850</v>
      </c>
      <c r="Y151">
        <f>SUMIFS(Detalle_OT!$H$2:$H$592,Detalle_OT!$B$2:$B$592,A151,Detalle_OT!$C$2:$C$592,"Repuesto")</f>
        <v>163880</v>
      </c>
      <c r="Z151">
        <f>SUMIFS(Detalle_OT!$H$2:$H$592,Detalle_OT!$B$2:$B$592,A151,Detalle_OT!$C$2:$C$592,"Mano de Obra")</f>
        <v>159100</v>
      </c>
      <c r="AA151">
        <f t="shared" si="66"/>
        <v>144870</v>
      </c>
      <c r="AB151">
        <f t="shared" si="67"/>
        <v>0.30965052901571016</v>
      </c>
      <c r="AC151" t="str">
        <f t="shared" si="68"/>
        <v>Margen No Negativo Confirmado</v>
      </c>
      <c r="AD151" t="str">
        <f t="shared" si="69"/>
        <v>2026-09</v>
      </c>
      <c r="AE151" t="str">
        <f t="shared" si="70"/>
        <v>Semana 39</v>
      </c>
      <c r="AF151">
        <f t="shared" si="71"/>
        <v>13</v>
      </c>
      <c r="AG151">
        <f t="shared" si="72"/>
        <v>0</v>
      </c>
      <c r="AH151">
        <f>IF(AND(G151="",OR(I151="En Curso",I151="Reprogramada"),F151&lt;Dashboard!$B$5),1,0)</f>
        <v>0</v>
      </c>
      <c r="AI151">
        <f t="shared" si="73"/>
        <v>0</v>
      </c>
      <c r="AJ151">
        <f t="shared" si="74"/>
        <v>0</v>
      </c>
      <c r="AK151">
        <f>IF(SUMIFS(Detalle_OT!$J$2:$J$592,Detalle_OT!$B$2:$B$592,A151)&gt;0,1,0)</f>
        <v>0</v>
      </c>
      <c r="AL151">
        <f>IF(AND(OR(Dashboard!$D$5="Todos",AD151=Dashboard!$D$5),OR(Dashboard!$F$5="Todos",D151=Dashboard!$F$5),OR(Dashboard!$H$5="Todos",I151=Dashboard!$H$5)),1,0)</f>
        <v>1</v>
      </c>
      <c r="AM151">
        <f>IF(AND(OR(Control_Mandante!$C$4="Todos", AD151=Control_Mandante!$C$4), OR(Control_Mandante!$F$4="Todos", B151=Control_Mandante!$F$4), OR(Control_Mandante!$I$4="Todos", W151=Control_Mandante!$I$4), OR(Control_Mandante!$L$4="Todos", H151=Control_Mandante!$L$4)), 1, 0)</f>
        <v>1</v>
      </c>
      <c r="AN151" t="str">
        <f>IF(AH151=1, COUNTIF(AH$2:AH151, 1), "")</f>
        <v/>
      </c>
      <c r="AO151" t="str">
        <f>IF(AJ151=1, COUNTIF(AJ$2:AJ151, 1), "")</f>
        <v/>
      </c>
      <c r="AP151" t="str">
        <f>IF(AK151=1, COUNTIF(AK$2:AK151, 1), "")</f>
        <v/>
      </c>
    </row>
    <row r="152" spans="1:42" x14ac:dyDescent="0.25">
      <c r="A152" t="s">
        <v>1017</v>
      </c>
      <c r="B152" t="s">
        <v>200</v>
      </c>
      <c r="C152" t="s">
        <v>1018</v>
      </c>
      <c r="D152" t="s">
        <v>295</v>
      </c>
      <c r="E152" s="43">
        <v>46286</v>
      </c>
      <c r="F152" s="43">
        <v>46295</v>
      </c>
      <c r="G152" s="43">
        <v>46304</v>
      </c>
      <c r="H152" t="s">
        <v>227</v>
      </c>
      <c r="I152" t="s">
        <v>277</v>
      </c>
      <c r="J152" t="s">
        <v>1019</v>
      </c>
      <c r="K152" s="43">
        <v>46286</v>
      </c>
      <c r="L152">
        <f t="shared" si="63"/>
        <v>677470</v>
      </c>
      <c r="M152" t="s">
        <v>279</v>
      </c>
      <c r="N152" t="s">
        <v>1020</v>
      </c>
      <c r="O152" s="43">
        <v>46287</v>
      </c>
      <c r="P152">
        <f t="shared" si="75"/>
        <v>677470</v>
      </c>
      <c r="Q152" t="s">
        <v>281</v>
      </c>
      <c r="R152" t="s">
        <v>1021</v>
      </c>
      <c r="S152" s="43">
        <v>46306</v>
      </c>
      <c r="T152">
        <f t="shared" si="77"/>
        <v>677470</v>
      </c>
      <c r="U152">
        <f>T152</f>
        <v>677470</v>
      </c>
      <c r="V152">
        <f t="shared" si="64"/>
        <v>0</v>
      </c>
      <c r="W152" t="str">
        <f t="shared" si="65"/>
        <v>CUADRADO (3-WAY OK)</v>
      </c>
      <c r="X152">
        <f>SUMIFS(Detalle_OT!$I$2:$I$592,Detalle_OT!$B$2:$B$592,A152)</f>
        <v>677470</v>
      </c>
      <c r="Y152">
        <f>SUMIFS(Detalle_OT!$H$2:$H$592,Detalle_OT!$B$2:$B$592,A152,Detalle_OT!$C$2:$C$592,"Repuesto")</f>
        <v>95860</v>
      </c>
      <c r="Z152">
        <f>SUMIFS(Detalle_OT!$H$2:$H$592,Detalle_OT!$B$2:$B$592,A152,Detalle_OT!$C$2:$C$592,"Mano de Obra")</f>
        <v>314600</v>
      </c>
      <c r="AA152">
        <f t="shared" si="66"/>
        <v>267010</v>
      </c>
      <c r="AB152">
        <f t="shared" si="67"/>
        <v>0.39412815327615985</v>
      </c>
      <c r="AC152" t="str">
        <f t="shared" si="68"/>
        <v>Margen No Negativo Confirmado</v>
      </c>
      <c r="AD152" t="str">
        <f t="shared" si="69"/>
        <v>2026-09</v>
      </c>
      <c r="AE152" t="str">
        <f t="shared" si="70"/>
        <v>Semana 39</v>
      </c>
      <c r="AF152">
        <f t="shared" si="71"/>
        <v>18</v>
      </c>
      <c r="AG152">
        <f t="shared" si="72"/>
        <v>0</v>
      </c>
      <c r="AH152">
        <f>IF(AND(G152="",OR(I152="En Curso",I152="Reprogramada"),F152&lt;Dashboard!$B$5),1,0)</f>
        <v>0</v>
      </c>
      <c r="AI152">
        <f t="shared" si="73"/>
        <v>0</v>
      </c>
      <c r="AJ152">
        <f t="shared" si="74"/>
        <v>0</v>
      </c>
      <c r="AK152">
        <f>IF(SUMIFS(Detalle_OT!$J$2:$J$592,Detalle_OT!$B$2:$B$592,A152)&gt;0,1,0)</f>
        <v>0</v>
      </c>
      <c r="AL152">
        <f>IF(AND(OR(Dashboard!$D$5="Todos",AD152=Dashboard!$D$5),OR(Dashboard!$F$5="Todos",D152=Dashboard!$F$5),OR(Dashboard!$H$5="Todos",I152=Dashboard!$H$5)),1,0)</f>
        <v>1</v>
      </c>
      <c r="AM152">
        <f>IF(AND(OR(Control_Mandante!$C$4="Todos", AD152=Control_Mandante!$C$4), OR(Control_Mandante!$F$4="Todos", B152=Control_Mandante!$F$4), OR(Control_Mandante!$I$4="Todos", W152=Control_Mandante!$I$4), OR(Control_Mandante!$L$4="Todos", H152=Control_Mandante!$L$4)), 1, 0)</f>
        <v>1</v>
      </c>
      <c r="AN152" t="str">
        <f>IF(AH152=1, COUNTIF(AH$2:AH152, 1), "")</f>
        <v/>
      </c>
      <c r="AO152" t="str">
        <f>IF(AJ152=1, COUNTIF(AJ$2:AJ152, 1), "")</f>
        <v/>
      </c>
      <c r="AP152" t="str">
        <f>IF(AK152=1, COUNTIF(AK$2:AK152, 1), "")</f>
        <v/>
      </c>
    </row>
    <row r="153" spans="1:42" x14ac:dyDescent="0.25">
      <c r="A153" t="s">
        <v>1022</v>
      </c>
      <c r="B153" t="s">
        <v>187</v>
      </c>
      <c r="C153" t="s">
        <v>1023</v>
      </c>
      <c r="D153" t="s">
        <v>301</v>
      </c>
      <c r="E153" s="43">
        <v>46287</v>
      </c>
      <c r="F153" s="43">
        <v>46291</v>
      </c>
      <c r="G153" s="43">
        <v>46289</v>
      </c>
      <c r="H153" t="s">
        <v>215</v>
      </c>
      <c r="I153" t="s">
        <v>277</v>
      </c>
      <c r="J153" t="s">
        <v>1024</v>
      </c>
      <c r="K153" s="43">
        <v>46287</v>
      </c>
      <c r="L153">
        <f t="shared" si="63"/>
        <v>527150</v>
      </c>
      <c r="M153" t="s">
        <v>279</v>
      </c>
      <c r="N153" t="s">
        <v>1025</v>
      </c>
      <c r="O153" s="43">
        <v>46288</v>
      </c>
      <c r="P153">
        <f t="shared" si="75"/>
        <v>527150</v>
      </c>
      <c r="Q153" t="s">
        <v>281</v>
      </c>
      <c r="R153" t="s">
        <v>1026</v>
      </c>
      <c r="S153" s="43">
        <v>46291</v>
      </c>
      <c r="T153">
        <f t="shared" si="77"/>
        <v>527150</v>
      </c>
      <c r="U153">
        <f>T153</f>
        <v>527150</v>
      </c>
      <c r="V153">
        <f t="shared" si="64"/>
        <v>0</v>
      </c>
      <c r="W153" t="str">
        <f t="shared" si="65"/>
        <v>CUADRADO (3-WAY OK)</v>
      </c>
      <c r="X153">
        <f>SUMIFS(Detalle_OT!$I$2:$I$592,Detalle_OT!$B$2:$B$592,A153)</f>
        <v>527150</v>
      </c>
      <c r="Y153">
        <f>SUMIFS(Detalle_OT!$H$2:$H$592,Detalle_OT!$B$2:$B$592,A153,Detalle_OT!$C$2:$C$592,"Repuesto")</f>
        <v>243450</v>
      </c>
      <c r="Z153">
        <f>SUMIFS(Detalle_OT!$H$2:$H$592,Detalle_OT!$B$2:$B$592,A153,Detalle_OT!$C$2:$C$592,"Mano de Obra")</f>
        <v>116700</v>
      </c>
      <c r="AA153">
        <f t="shared" si="66"/>
        <v>167000</v>
      </c>
      <c r="AB153">
        <f t="shared" si="67"/>
        <v>0.31679787536754245</v>
      </c>
      <c r="AC153" t="str">
        <f t="shared" si="68"/>
        <v>Margen No Negativo Confirmado</v>
      </c>
      <c r="AD153" t="str">
        <f t="shared" si="69"/>
        <v>2026-09</v>
      </c>
      <c r="AE153" t="str">
        <f t="shared" si="70"/>
        <v>Semana 39</v>
      </c>
      <c r="AF153">
        <f t="shared" si="71"/>
        <v>2</v>
      </c>
      <c r="AG153">
        <f t="shared" si="72"/>
        <v>1</v>
      </c>
      <c r="AH153">
        <f>IF(AND(G153="",OR(I153="En Curso",I153="Reprogramada"),F153&lt;Dashboard!$B$5),1,0)</f>
        <v>0</v>
      </c>
      <c r="AI153">
        <f t="shared" si="73"/>
        <v>0</v>
      </c>
      <c r="AJ153">
        <f t="shared" si="74"/>
        <v>0</v>
      </c>
      <c r="AK153">
        <f>IF(SUMIFS(Detalle_OT!$J$2:$J$592,Detalle_OT!$B$2:$B$592,A153)&gt;0,1,0)</f>
        <v>0</v>
      </c>
      <c r="AL153">
        <f>IF(AND(OR(Dashboard!$D$5="Todos",AD153=Dashboard!$D$5),OR(Dashboard!$F$5="Todos",D153=Dashboard!$F$5),OR(Dashboard!$H$5="Todos",I153=Dashboard!$H$5)),1,0)</f>
        <v>1</v>
      </c>
      <c r="AM153">
        <f>IF(AND(OR(Control_Mandante!$C$4="Todos", AD153=Control_Mandante!$C$4), OR(Control_Mandante!$F$4="Todos", B153=Control_Mandante!$F$4), OR(Control_Mandante!$I$4="Todos", W153=Control_Mandante!$I$4), OR(Control_Mandante!$L$4="Todos", H153=Control_Mandante!$L$4)), 1, 0)</f>
        <v>1</v>
      </c>
      <c r="AN153" t="str">
        <f>IF(AH153=1, COUNTIF(AH$2:AH153, 1), "")</f>
        <v/>
      </c>
      <c r="AO153" t="str">
        <f>IF(AJ153=1, COUNTIF(AJ$2:AJ153, 1), "")</f>
        <v/>
      </c>
      <c r="AP153" t="str">
        <f>IF(AK153=1, COUNTIF(AK$2:AK153, 1), "")</f>
        <v/>
      </c>
    </row>
    <row r="154" spans="1:42" x14ac:dyDescent="0.25">
      <c r="A154" t="s">
        <v>1027</v>
      </c>
      <c r="B154" t="s">
        <v>168</v>
      </c>
      <c r="C154" t="s">
        <v>1028</v>
      </c>
      <c r="D154" t="s">
        <v>301</v>
      </c>
      <c r="E154" s="43">
        <v>46287</v>
      </c>
      <c r="F154" s="43">
        <v>46294</v>
      </c>
      <c r="G154" s="43">
        <v>46294</v>
      </c>
      <c r="H154" t="s">
        <v>218</v>
      </c>
      <c r="I154" t="s">
        <v>277</v>
      </c>
      <c r="J154" t="s">
        <v>1029</v>
      </c>
      <c r="K154" s="43">
        <v>46287</v>
      </c>
      <c r="L154">
        <f t="shared" si="63"/>
        <v>410480</v>
      </c>
      <c r="M154" t="s">
        <v>279</v>
      </c>
      <c r="N154" t="s">
        <v>1030</v>
      </c>
      <c r="O154" s="43">
        <v>46288</v>
      </c>
      <c r="P154">
        <f t="shared" si="75"/>
        <v>410480</v>
      </c>
      <c r="Q154" t="s">
        <v>281</v>
      </c>
      <c r="R154" t="s">
        <v>1031</v>
      </c>
      <c r="S154" s="43">
        <v>46296</v>
      </c>
      <c r="T154">
        <f t="shared" si="77"/>
        <v>410480</v>
      </c>
      <c r="U154">
        <f>T154*0.5</f>
        <v>205240</v>
      </c>
      <c r="V154">
        <f t="shared" si="64"/>
        <v>205240</v>
      </c>
      <c r="W154" t="str">
        <f t="shared" si="65"/>
        <v>CUADRADO (3-WAY OK)</v>
      </c>
      <c r="X154">
        <f>SUMIFS(Detalle_OT!$I$2:$I$592,Detalle_OT!$B$2:$B$592,A154)</f>
        <v>410480</v>
      </c>
      <c r="Y154">
        <f>SUMIFS(Detalle_OT!$H$2:$H$592,Detalle_OT!$B$2:$B$592,A154,Detalle_OT!$C$2:$C$592,"Repuesto")</f>
        <v>67360</v>
      </c>
      <c r="Z154">
        <f>SUMIFS(Detalle_OT!$H$2:$H$592,Detalle_OT!$B$2:$B$592,A154,Detalle_OT!$C$2:$C$592,"Mano de Obra")</f>
        <v>190400</v>
      </c>
      <c r="AA154">
        <f t="shared" si="66"/>
        <v>152720</v>
      </c>
      <c r="AB154">
        <f t="shared" si="67"/>
        <v>0.37205223153381406</v>
      </c>
      <c r="AC154" t="str">
        <f t="shared" si="68"/>
        <v>Margen No Negativo Confirmado</v>
      </c>
      <c r="AD154" t="str">
        <f t="shared" si="69"/>
        <v>2026-09</v>
      </c>
      <c r="AE154" t="str">
        <f t="shared" si="70"/>
        <v>Semana 39</v>
      </c>
      <c r="AF154">
        <f t="shared" si="71"/>
        <v>7</v>
      </c>
      <c r="AG154">
        <f t="shared" si="72"/>
        <v>1</v>
      </c>
      <c r="AH154">
        <f>IF(AND(G154="",OR(I154="En Curso",I154="Reprogramada"),F154&lt;Dashboard!$B$5),1,0)</f>
        <v>0</v>
      </c>
      <c r="AI154">
        <f t="shared" si="73"/>
        <v>0</v>
      </c>
      <c r="AJ154">
        <f t="shared" si="74"/>
        <v>0</v>
      </c>
      <c r="AK154">
        <f>IF(SUMIFS(Detalle_OT!$J$2:$J$592,Detalle_OT!$B$2:$B$592,A154)&gt;0,1,0)</f>
        <v>0</v>
      </c>
      <c r="AL154">
        <f>IF(AND(OR(Dashboard!$D$5="Todos",AD154=Dashboard!$D$5),OR(Dashboard!$F$5="Todos",D154=Dashboard!$F$5),OR(Dashboard!$H$5="Todos",I154=Dashboard!$H$5)),1,0)</f>
        <v>1</v>
      </c>
      <c r="AM154">
        <f>IF(AND(OR(Control_Mandante!$C$4="Todos", AD154=Control_Mandante!$C$4), OR(Control_Mandante!$F$4="Todos", B154=Control_Mandante!$F$4), OR(Control_Mandante!$I$4="Todos", W154=Control_Mandante!$I$4), OR(Control_Mandante!$L$4="Todos", H154=Control_Mandante!$L$4)), 1, 0)</f>
        <v>1</v>
      </c>
      <c r="AN154" t="str">
        <f>IF(AH154=1, COUNTIF(AH$2:AH154, 1), "")</f>
        <v/>
      </c>
      <c r="AO154" t="str">
        <f>IF(AJ154=1, COUNTIF(AJ$2:AJ154, 1), "")</f>
        <v/>
      </c>
      <c r="AP154" t="str">
        <f>IF(AK154=1, COUNTIF(AK$2:AK154, 1), "")</f>
        <v/>
      </c>
    </row>
    <row r="155" spans="1:42" x14ac:dyDescent="0.25">
      <c r="A155" t="s">
        <v>1032</v>
      </c>
      <c r="B155" t="s">
        <v>183</v>
      </c>
      <c r="C155" t="s">
        <v>1033</v>
      </c>
      <c r="D155" t="s">
        <v>276</v>
      </c>
      <c r="E155" s="43">
        <v>46290</v>
      </c>
      <c r="F155" s="43">
        <v>46292</v>
      </c>
      <c r="G155" s="43">
        <v>46291</v>
      </c>
      <c r="H155" t="s">
        <v>220</v>
      </c>
      <c r="I155" t="s">
        <v>277</v>
      </c>
      <c r="J155" t="s">
        <v>1034</v>
      </c>
      <c r="K155" s="43">
        <v>46290</v>
      </c>
      <c r="L155">
        <f t="shared" si="63"/>
        <v>180720</v>
      </c>
      <c r="M155" t="s">
        <v>279</v>
      </c>
      <c r="N155" t="s">
        <v>1035</v>
      </c>
      <c r="O155" s="43">
        <v>46291</v>
      </c>
      <c r="P155">
        <f t="shared" si="75"/>
        <v>180720</v>
      </c>
      <c r="Q155" t="s">
        <v>281</v>
      </c>
      <c r="R155" t="s">
        <v>1036</v>
      </c>
      <c r="S155" s="43">
        <v>46293</v>
      </c>
      <c r="T155">
        <f t="shared" si="77"/>
        <v>180720</v>
      </c>
      <c r="U155">
        <f>T155</f>
        <v>180720</v>
      </c>
      <c r="V155">
        <f t="shared" si="64"/>
        <v>0</v>
      </c>
      <c r="W155" t="str">
        <f t="shared" si="65"/>
        <v>CUADRADO (3-WAY OK)</v>
      </c>
      <c r="X155">
        <f>SUMIFS(Detalle_OT!$I$2:$I$592,Detalle_OT!$B$2:$B$592,A155)</f>
        <v>180720</v>
      </c>
      <c r="Y155">
        <f>SUMIFS(Detalle_OT!$H$2:$H$592,Detalle_OT!$B$2:$B$592,A155,Detalle_OT!$C$2:$C$592,"Repuesto")</f>
        <v>79940</v>
      </c>
      <c r="Z155">
        <f>SUMIFS(Detalle_OT!$H$2:$H$592,Detalle_OT!$B$2:$B$592,A155,Detalle_OT!$C$2:$C$592,"Mano de Obra")</f>
        <v>40200</v>
      </c>
      <c r="AA155">
        <f t="shared" si="66"/>
        <v>60580</v>
      </c>
      <c r="AB155">
        <f t="shared" si="67"/>
        <v>0.33521469676848165</v>
      </c>
      <c r="AC155" t="str">
        <f t="shared" si="68"/>
        <v>Margen No Negativo Confirmado</v>
      </c>
      <c r="AD155" t="str">
        <f t="shared" si="69"/>
        <v>2026-09</v>
      </c>
      <c r="AE155" t="str">
        <f t="shared" si="70"/>
        <v>Semana 39</v>
      </c>
      <c r="AF155">
        <f t="shared" si="71"/>
        <v>1</v>
      </c>
      <c r="AG155">
        <f t="shared" si="72"/>
        <v>1</v>
      </c>
      <c r="AH155">
        <f>IF(AND(G155="",OR(I155="En Curso",I155="Reprogramada"),F155&lt;Dashboard!$B$5),1,0)</f>
        <v>0</v>
      </c>
      <c r="AI155">
        <f t="shared" si="73"/>
        <v>0</v>
      </c>
      <c r="AJ155">
        <f t="shared" si="74"/>
        <v>0</v>
      </c>
      <c r="AK155">
        <f>IF(SUMIFS(Detalle_OT!$J$2:$J$592,Detalle_OT!$B$2:$B$592,A155)&gt;0,1,0)</f>
        <v>0</v>
      </c>
      <c r="AL155">
        <f>IF(AND(OR(Dashboard!$D$5="Todos",AD155=Dashboard!$D$5),OR(Dashboard!$F$5="Todos",D155=Dashboard!$F$5),OR(Dashboard!$H$5="Todos",I155=Dashboard!$H$5)),1,0)</f>
        <v>1</v>
      </c>
      <c r="AM155">
        <f>IF(AND(OR(Control_Mandante!$C$4="Todos", AD155=Control_Mandante!$C$4), OR(Control_Mandante!$F$4="Todos", B155=Control_Mandante!$F$4), OR(Control_Mandante!$I$4="Todos", W155=Control_Mandante!$I$4), OR(Control_Mandante!$L$4="Todos", H155=Control_Mandante!$L$4)), 1, 0)</f>
        <v>1</v>
      </c>
      <c r="AN155" t="str">
        <f>IF(AH155=1, COUNTIF(AH$2:AH155, 1), "")</f>
        <v/>
      </c>
      <c r="AO155" t="str">
        <f>IF(AJ155=1, COUNTIF(AJ$2:AJ155, 1), "")</f>
        <v/>
      </c>
      <c r="AP155" t="str">
        <f>IF(AK155=1, COUNTIF(AK$2:AK155, 1), "")</f>
        <v/>
      </c>
    </row>
    <row r="156" spans="1:42" x14ac:dyDescent="0.25">
      <c r="A156" t="s">
        <v>1037</v>
      </c>
      <c r="B156" t="s">
        <v>193</v>
      </c>
      <c r="C156" t="s">
        <v>1038</v>
      </c>
      <c r="D156" t="s">
        <v>301</v>
      </c>
      <c r="E156" s="43">
        <v>46293</v>
      </c>
      <c r="F156" s="43">
        <v>46300</v>
      </c>
      <c r="G156" s="43">
        <v>46300</v>
      </c>
      <c r="H156" t="s">
        <v>232</v>
      </c>
      <c r="I156" t="s">
        <v>277</v>
      </c>
      <c r="J156" t="s">
        <v>1039</v>
      </c>
      <c r="K156" s="43">
        <v>46293</v>
      </c>
      <c r="L156">
        <f t="shared" si="63"/>
        <v>433740</v>
      </c>
      <c r="M156" t="s">
        <v>279</v>
      </c>
      <c r="N156" t="s">
        <v>1040</v>
      </c>
      <c r="O156" s="43">
        <v>46294</v>
      </c>
      <c r="P156">
        <f t="shared" si="75"/>
        <v>433740</v>
      </c>
      <c r="Q156" t="s">
        <v>281</v>
      </c>
      <c r="R156" t="s">
        <v>1041</v>
      </c>
      <c r="S156" s="43">
        <v>46302</v>
      </c>
      <c r="T156">
        <f t="shared" si="77"/>
        <v>433740</v>
      </c>
      <c r="U156">
        <f>T156</f>
        <v>433740</v>
      </c>
      <c r="V156">
        <f t="shared" si="64"/>
        <v>0</v>
      </c>
      <c r="W156" t="str">
        <f t="shared" si="65"/>
        <v>CUADRADO (3-WAY OK)</v>
      </c>
      <c r="X156">
        <f>SUMIFS(Detalle_OT!$I$2:$I$592,Detalle_OT!$B$2:$B$592,A156)</f>
        <v>433740</v>
      </c>
      <c r="Y156">
        <f>SUMIFS(Detalle_OT!$H$2:$H$592,Detalle_OT!$B$2:$B$592,A156,Detalle_OT!$C$2:$C$592,"Repuesto")</f>
        <v>81450</v>
      </c>
      <c r="Z156">
        <f>SUMIFS(Detalle_OT!$H$2:$H$592,Detalle_OT!$B$2:$B$592,A156,Detalle_OT!$C$2:$C$592,"Mano de Obra")</f>
        <v>165600</v>
      </c>
      <c r="AA156">
        <f t="shared" si="66"/>
        <v>186690</v>
      </c>
      <c r="AB156">
        <f t="shared" si="67"/>
        <v>0.4304191451099737</v>
      </c>
      <c r="AC156" t="str">
        <f t="shared" si="68"/>
        <v>Margen No Negativo Confirmado</v>
      </c>
      <c r="AD156" t="str">
        <f t="shared" si="69"/>
        <v>2026-09</v>
      </c>
      <c r="AE156" t="str">
        <f t="shared" si="70"/>
        <v>Semana 40</v>
      </c>
      <c r="AF156">
        <f t="shared" si="71"/>
        <v>7</v>
      </c>
      <c r="AG156">
        <f t="shared" si="72"/>
        <v>1</v>
      </c>
      <c r="AH156">
        <f>IF(AND(G156="",OR(I156="En Curso",I156="Reprogramada"),F156&lt;Dashboard!$B$5),1,0)</f>
        <v>0</v>
      </c>
      <c r="AI156">
        <f t="shared" si="73"/>
        <v>0</v>
      </c>
      <c r="AJ156">
        <f t="shared" si="74"/>
        <v>0</v>
      </c>
      <c r="AK156">
        <f>IF(SUMIFS(Detalle_OT!$J$2:$J$592,Detalle_OT!$B$2:$B$592,A156)&gt;0,1,0)</f>
        <v>0</v>
      </c>
      <c r="AL156">
        <f>IF(AND(OR(Dashboard!$D$5="Todos",AD156=Dashboard!$D$5),OR(Dashboard!$F$5="Todos",D156=Dashboard!$F$5),OR(Dashboard!$H$5="Todos",I156=Dashboard!$H$5)),1,0)</f>
        <v>1</v>
      </c>
      <c r="AM156">
        <f>IF(AND(OR(Control_Mandante!$C$4="Todos", AD156=Control_Mandante!$C$4), OR(Control_Mandante!$F$4="Todos", B156=Control_Mandante!$F$4), OR(Control_Mandante!$I$4="Todos", W156=Control_Mandante!$I$4), OR(Control_Mandante!$L$4="Todos", H156=Control_Mandante!$L$4)), 1, 0)</f>
        <v>1</v>
      </c>
      <c r="AN156" t="str">
        <f>IF(AH156=1, COUNTIF(AH$2:AH156, 1), "")</f>
        <v/>
      </c>
      <c r="AO156" t="str">
        <f>IF(AJ156=1, COUNTIF(AJ$2:AJ156, 1), "")</f>
        <v/>
      </c>
      <c r="AP156" t="str">
        <f>IF(AK156=1, COUNTIF(AK$2:AK156, 1), "")</f>
        <v/>
      </c>
    </row>
    <row r="157" spans="1:42" x14ac:dyDescent="0.25">
      <c r="A157" t="s">
        <v>1042</v>
      </c>
      <c r="B157" t="s">
        <v>187</v>
      </c>
      <c r="C157" t="s">
        <v>1043</v>
      </c>
      <c r="D157" t="s">
        <v>276</v>
      </c>
      <c r="E157" s="43">
        <v>46293</v>
      </c>
      <c r="F157" s="43">
        <v>46297</v>
      </c>
      <c r="G157" s="43">
        <v>46297</v>
      </c>
      <c r="H157" t="s">
        <v>229</v>
      </c>
      <c r="I157" t="s">
        <v>277</v>
      </c>
      <c r="J157" t="s">
        <v>1044</v>
      </c>
      <c r="K157" s="43">
        <v>46293</v>
      </c>
      <c r="L157">
        <f t="shared" si="63"/>
        <v>300500</v>
      </c>
      <c r="M157" t="s">
        <v>279</v>
      </c>
      <c r="N157" t="s">
        <v>1045</v>
      </c>
      <c r="O157" s="43">
        <v>46294</v>
      </c>
      <c r="P157">
        <f t="shared" si="75"/>
        <v>300500</v>
      </c>
      <c r="Q157" t="s">
        <v>281</v>
      </c>
      <c r="R157" t="s">
        <v>1046</v>
      </c>
      <c r="S157" s="43">
        <v>46299</v>
      </c>
      <c r="T157">
        <f t="shared" si="77"/>
        <v>300500</v>
      </c>
      <c r="U157">
        <f>T157*0.5</f>
        <v>150250</v>
      </c>
      <c r="V157">
        <f t="shared" si="64"/>
        <v>150250</v>
      </c>
      <c r="W157" t="str">
        <f t="shared" si="65"/>
        <v>CUADRADO (3-WAY OK)</v>
      </c>
      <c r="X157">
        <f>SUMIFS(Detalle_OT!$I$2:$I$592,Detalle_OT!$B$2:$B$592,A157)</f>
        <v>300500</v>
      </c>
      <c r="Y157">
        <f>SUMIFS(Detalle_OT!$H$2:$H$592,Detalle_OT!$B$2:$B$592,A157,Detalle_OT!$C$2:$C$592,"Repuesto")</f>
        <v>113790</v>
      </c>
      <c r="Z157">
        <f>SUMIFS(Detalle_OT!$H$2:$H$592,Detalle_OT!$B$2:$B$592,A157,Detalle_OT!$C$2:$C$592,"Mano de Obra")</f>
        <v>71500</v>
      </c>
      <c r="AA157">
        <f t="shared" si="66"/>
        <v>115210</v>
      </c>
      <c r="AB157">
        <f t="shared" si="67"/>
        <v>0.38339434276206324</v>
      </c>
      <c r="AC157" t="str">
        <f t="shared" si="68"/>
        <v>Margen No Negativo Confirmado</v>
      </c>
      <c r="AD157" t="str">
        <f t="shared" si="69"/>
        <v>2026-09</v>
      </c>
      <c r="AE157" t="str">
        <f t="shared" si="70"/>
        <v>Semana 40</v>
      </c>
      <c r="AF157">
        <f t="shared" si="71"/>
        <v>4</v>
      </c>
      <c r="AG157">
        <f t="shared" si="72"/>
        <v>1</v>
      </c>
      <c r="AH157">
        <f>IF(AND(G157="",OR(I157="En Curso",I157="Reprogramada"),F157&lt;Dashboard!$B$5),1,0)</f>
        <v>0</v>
      </c>
      <c r="AI157">
        <f t="shared" si="73"/>
        <v>0</v>
      </c>
      <c r="AJ157">
        <f t="shared" si="74"/>
        <v>0</v>
      </c>
      <c r="AK157">
        <f>IF(SUMIFS(Detalle_OT!$J$2:$J$592,Detalle_OT!$B$2:$B$592,A157)&gt;0,1,0)</f>
        <v>0</v>
      </c>
      <c r="AL157">
        <f>IF(AND(OR(Dashboard!$D$5="Todos",AD157=Dashboard!$D$5),OR(Dashboard!$F$5="Todos",D157=Dashboard!$F$5),OR(Dashboard!$H$5="Todos",I157=Dashboard!$H$5)),1,0)</f>
        <v>1</v>
      </c>
      <c r="AM157">
        <f>IF(AND(OR(Control_Mandante!$C$4="Todos", AD157=Control_Mandante!$C$4), OR(Control_Mandante!$F$4="Todos", B157=Control_Mandante!$F$4), OR(Control_Mandante!$I$4="Todos", W157=Control_Mandante!$I$4), OR(Control_Mandante!$L$4="Todos", H157=Control_Mandante!$L$4)), 1, 0)</f>
        <v>1</v>
      </c>
      <c r="AN157" t="str">
        <f>IF(AH157=1, COUNTIF(AH$2:AH157, 1), "")</f>
        <v/>
      </c>
      <c r="AO157" t="str">
        <f>IF(AJ157=1, COUNTIF(AJ$2:AJ157, 1), "")</f>
        <v/>
      </c>
      <c r="AP157" t="str">
        <f>IF(AK157=1, COUNTIF(AK$2:AK157, 1), "")</f>
        <v/>
      </c>
    </row>
    <row r="158" spans="1:42" x14ac:dyDescent="0.25">
      <c r="A158" t="s">
        <v>1047</v>
      </c>
      <c r="B158" t="s">
        <v>187</v>
      </c>
      <c r="C158" t="s">
        <v>1048</v>
      </c>
      <c r="D158" t="s">
        <v>301</v>
      </c>
      <c r="E158" s="43">
        <v>46294</v>
      </c>
      <c r="F158" s="43">
        <v>46302</v>
      </c>
      <c r="G158" s="43">
        <v>46311</v>
      </c>
      <c r="H158" t="s">
        <v>215</v>
      </c>
      <c r="I158" t="s">
        <v>277</v>
      </c>
      <c r="J158" t="s">
        <v>1049</v>
      </c>
      <c r="K158" s="43">
        <v>46294</v>
      </c>
      <c r="L158">
        <f t="shared" si="63"/>
        <v>740140</v>
      </c>
      <c r="M158" t="s">
        <v>279</v>
      </c>
      <c r="N158" t="s">
        <v>1050</v>
      </c>
      <c r="O158" s="43">
        <v>46295</v>
      </c>
      <c r="P158">
        <f t="shared" si="75"/>
        <v>740140</v>
      </c>
      <c r="Q158" t="s">
        <v>281</v>
      </c>
      <c r="R158" t="s">
        <v>1051</v>
      </c>
      <c r="S158" s="43">
        <v>46313</v>
      </c>
      <c r="T158">
        <f t="shared" si="77"/>
        <v>740140</v>
      </c>
      <c r="U158">
        <f>T158</f>
        <v>740140</v>
      </c>
      <c r="V158">
        <f t="shared" si="64"/>
        <v>0</v>
      </c>
      <c r="W158" t="str">
        <f t="shared" si="65"/>
        <v>CUADRADO (3-WAY OK)</v>
      </c>
      <c r="X158">
        <f>SUMIFS(Detalle_OT!$I$2:$I$592,Detalle_OT!$B$2:$B$592,A158)</f>
        <v>740140</v>
      </c>
      <c r="Y158">
        <f>SUMIFS(Detalle_OT!$H$2:$H$592,Detalle_OT!$B$2:$B$592,A158,Detalle_OT!$C$2:$C$592,"Repuesto")</f>
        <v>325280</v>
      </c>
      <c r="Z158">
        <f>SUMIFS(Detalle_OT!$H$2:$H$592,Detalle_OT!$B$2:$B$592,A158,Detalle_OT!$C$2:$C$592,"Mano de Obra")</f>
        <v>161000</v>
      </c>
      <c r="AA158">
        <f t="shared" si="66"/>
        <v>253860</v>
      </c>
      <c r="AB158">
        <f t="shared" si="67"/>
        <v>0.34298916421217607</v>
      </c>
      <c r="AC158" t="str">
        <f t="shared" si="68"/>
        <v>Margen No Negativo Confirmado</v>
      </c>
      <c r="AD158" t="str">
        <f t="shared" si="69"/>
        <v>2026-09</v>
      </c>
      <c r="AE158" t="str">
        <f t="shared" si="70"/>
        <v>Semana 40</v>
      </c>
      <c r="AF158">
        <f t="shared" si="71"/>
        <v>17</v>
      </c>
      <c r="AG158">
        <f t="shared" si="72"/>
        <v>0</v>
      </c>
      <c r="AH158">
        <f>IF(AND(G158="",OR(I158="En Curso",I158="Reprogramada"),F158&lt;Dashboard!$B$5),1,0)</f>
        <v>0</v>
      </c>
      <c r="AI158">
        <f t="shared" si="73"/>
        <v>0</v>
      </c>
      <c r="AJ158">
        <f t="shared" si="74"/>
        <v>0</v>
      </c>
      <c r="AK158">
        <f>IF(SUMIFS(Detalle_OT!$J$2:$J$592,Detalle_OT!$B$2:$B$592,A158)&gt;0,1,0)</f>
        <v>0</v>
      </c>
      <c r="AL158">
        <f>IF(AND(OR(Dashboard!$D$5="Todos",AD158=Dashboard!$D$5),OR(Dashboard!$F$5="Todos",D158=Dashboard!$F$5),OR(Dashboard!$H$5="Todos",I158=Dashboard!$H$5)),1,0)</f>
        <v>1</v>
      </c>
      <c r="AM158">
        <f>IF(AND(OR(Control_Mandante!$C$4="Todos", AD158=Control_Mandante!$C$4), OR(Control_Mandante!$F$4="Todos", B158=Control_Mandante!$F$4), OR(Control_Mandante!$I$4="Todos", W158=Control_Mandante!$I$4), OR(Control_Mandante!$L$4="Todos", H158=Control_Mandante!$L$4)), 1, 0)</f>
        <v>1</v>
      </c>
      <c r="AN158" t="str">
        <f>IF(AH158=1, COUNTIF(AH$2:AH158, 1), "")</f>
        <v/>
      </c>
      <c r="AO158" t="str">
        <f>IF(AJ158=1, COUNTIF(AJ$2:AJ158, 1), "")</f>
        <v/>
      </c>
      <c r="AP158" t="str">
        <f>IF(AK158=1, COUNTIF(AK$2:AK158, 1), "")</f>
        <v/>
      </c>
    </row>
    <row r="159" spans="1:42" x14ac:dyDescent="0.25">
      <c r="A159" t="s">
        <v>1052</v>
      </c>
      <c r="B159" t="s">
        <v>200</v>
      </c>
      <c r="C159" t="s">
        <v>1053</v>
      </c>
      <c r="D159" t="s">
        <v>295</v>
      </c>
      <c r="E159" s="43">
        <v>46294</v>
      </c>
      <c r="F159" s="43">
        <v>46303</v>
      </c>
      <c r="G159" s="43">
        <v>46303</v>
      </c>
      <c r="H159" t="s">
        <v>218</v>
      </c>
      <c r="I159" t="s">
        <v>277</v>
      </c>
      <c r="J159" t="s">
        <v>1054</v>
      </c>
      <c r="K159" s="43">
        <v>46294</v>
      </c>
      <c r="L159">
        <f t="shared" si="63"/>
        <v>678000</v>
      </c>
      <c r="M159" t="s">
        <v>279</v>
      </c>
      <c r="N159" t="s">
        <v>1055</v>
      </c>
      <c r="O159" s="43">
        <v>46295</v>
      </c>
      <c r="P159">
        <f t="shared" si="75"/>
        <v>678000</v>
      </c>
      <c r="Q159" t="s">
        <v>281</v>
      </c>
      <c r="R159" t="s">
        <v>1056</v>
      </c>
      <c r="S159" s="43">
        <v>46305</v>
      </c>
      <c r="T159">
        <f t="shared" si="77"/>
        <v>678000</v>
      </c>
      <c r="U159">
        <f>T159</f>
        <v>678000</v>
      </c>
      <c r="V159">
        <f t="shared" si="64"/>
        <v>0</v>
      </c>
      <c r="W159" t="str">
        <f t="shared" si="65"/>
        <v>CUADRADO (3-WAY OK)</v>
      </c>
      <c r="X159">
        <f>SUMIFS(Detalle_OT!$I$2:$I$592,Detalle_OT!$B$2:$B$592,A159)</f>
        <v>678000</v>
      </c>
      <c r="Y159">
        <f>SUMIFS(Detalle_OT!$H$2:$H$592,Detalle_OT!$B$2:$B$592,A159,Detalle_OT!$C$2:$C$592,"Repuesto")</f>
        <v>162090</v>
      </c>
      <c r="Z159">
        <f>SUMIFS(Detalle_OT!$H$2:$H$592,Detalle_OT!$B$2:$B$592,A159,Detalle_OT!$C$2:$C$592,"Mano de Obra")</f>
        <v>287700</v>
      </c>
      <c r="AA159">
        <f t="shared" si="66"/>
        <v>228210</v>
      </c>
      <c r="AB159">
        <f t="shared" si="67"/>
        <v>0.33659292035398231</v>
      </c>
      <c r="AC159" t="str">
        <f t="shared" si="68"/>
        <v>Margen No Negativo Confirmado</v>
      </c>
      <c r="AD159" t="str">
        <f t="shared" si="69"/>
        <v>2026-09</v>
      </c>
      <c r="AE159" t="str">
        <f t="shared" si="70"/>
        <v>Semana 40</v>
      </c>
      <c r="AF159">
        <f t="shared" si="71"/>
        <v>9</v>
      </c>
      <c r="AG159">
        <f t="shared" si="72"/>
        <v>1</v>
      </c>
      <c r="AH159">
        <f>IF(AND(G159="",OR(I159="En Curso",I159="Reprogramada"),F159&lt;Dashboard!$B$5),1,0)</f>
        <v>0</v>
      </c>
      <c r="AI159">
        <f t="shared" si="73"/>
        <v>0</v>
      </c>
      <c r="AJ159">
        <f t="shared" si="74"/>
        <v>0</v>
      </c>
      <c r="AK159">
        <f>IF(SUMIFS(Detalle_OT!$J$2:$J$592,Detalle_OT!$B$2:$B$592,A159)&gt;0,1,0)</f>
        <v>0</v>
      </c>
      <c r="AL159">
        <f>IF(AND(OR(Dashboard!$D$5="Todos",AD159=Dashboard!$D$5),OR(Dashboard!$F$5="Todos",D159=Dashboard!$F$5),OR(Dashboard!$H$5="Todos",I159=Dashboard!$H$5)),1,0)</f>
        <v>1</v>
      </c>
      <c r="AM159">
        <f>IF(AND(OR(Control_Mandante!$C$4="Todos", AD159=Control_Mandante!$C$4), OR(Control_Mandante!$F$4="Todos", B159=Control_Mandante!$F$4), OR(Control_Mandante!$I$4="Todos", W159=Control_Mandante!$I$4), OR(Control_Mandante!$L$4="Todos", H159=Control_Mandante!$L$4)), 1, 0)</f>
        <v>1</v>
      </c>
      <c r="AN159" t="str">
        <f>IF(AH159=1, COUNTIF(AH$2:AH159, 1), "")</f>
        <v/>
      </c>
      <c r="AO159" t="str">
        <f>IF(AJ159=1, COUNTIF(AJ$2:AJ159, 1), "")</f>
        <v/>
      </c>
      <c r="AP159" t="str">
        <f>IF(AK159=1, COUNTIF(AK$2:AK159, 1), "")</f>
        <v/>
      </c>
    </row>
    <row r="160" spans="1:42" x14ac:dyDescent="0.25">
      <c r="A160" t="s">
        <v>1057</v>
      </c>
      <c r="B160" t="s">
        <v>155</v>
      </c>
      <c r="C160" t="s">
        <v>1058</v>
      </c>
      <c r="D160" t="s">
        <v>295</v>
      </c>
      <c r="E160" s="43">
        <v>46294</v>
      </c>
      <c r="F160" s="43">
        <v>46313</v>
      </c>
      <c r="G160" s="43">
        <v>46312</v>
      </c>
      <c r="H160" t="s">
        <v>227</v>
      </c>
      <c r="I160" t="s">
        <v>290</v>
      </c>
      <c r="J160" t="s">
        <v>1059</v>
      </c>
      <c r="K160" s="43">
        <v>46294</v>
      </c>
      <c r="L160">
        <f t="shared" si="63"/>
        <v>1106980</v>
      </c>
      <c r="M160" t="s">
        <v>279</v>
      </c>
      <c r="N160" t="s">
        <v>1060</v>
      </c>
      <c r="O160" s="43">
        <v>46295</v>
      </c>
      <c r="P160">
        <f t="shared" si="75"/>
        <v>1106980</v>
      </c>
      <c r="Q160" t="s">
        <v>281</v>
      </c>
      <c r="T160">
        <v>0</v>
      </c>
      <c r="U160">
        <v>0</v>
      </c>
      <c r="V160">
        <f t="shared" si="64"/>
        <v>0</v>
      </c>
      <c r="W160" t="str">
        <f t="shared" si="65"/>
        <v>OC Recibida - Pendiente Factura</v>
      </c>
      <c r="X160">
        <f>SUMIFS(Detalle_OT!$I$2:$I$592,Detalle_OT!$B$2:$B$592,A160)</f>
        <v>1106980</v>
      </c>
      <c r="Y160">
        <f>SUMIFS(Detalle_OT!$H$2:$H$592,Detalle_OT!$B$2:$B$592,A160,Detalle_OT!$C$2:$C$592,"Repuesto")</f>
        <v>630480</v>
      </c>
      <c r="Z160">
        <f>SUMIFS(Detalle_OT!$H$2:$H$592,Detalle_OT!$B$2:$B$592,A160,Detalle_OT!$C$2:$C$592,"Mano de Obra")</f>
        <v>137000</v>
      </c>
      <c r="AA160">
        <f t="shared" si="66"/>
        <v>339500</v>
      </c>
      <c r="AB160">
        <f t="shared" si="67"/>
        <v>0.30669027444036928</v>
      </c>
      <c r="AC160" t="str">
        <f t="shared" si="68"/>
        <v>Margen No Negativo Confirmado</v>
      </c>
      <c r="AD160" t="str">
        <f t="shared" si="69"/>
        <v>2026-09</v>
      </c>
      <c r="AE160" t="str">
        <f t="shared" si="70"/>
        <v>Semana 40</v>
      </c>
      <c r="AF160">
        <f t="shared" si="71"/>
        <v>18</v>
      </c>
      <c r="AG160">
        <f t="shared" si="72"/>
        <v>1</v>
      </c>
      <c r="AH160">
        <f>IF(AND(G160="",OR(I160="En Curso",I160="Reprogramada"),F160&lt;Dashboard!$B$5),1,0)</f>
        <v>0</v>
      </c>
      <c r="AI160">
        <f t="shared" si="73"/>
        <v>0</v>
      </c>
      <c r="AJ160">
        <f t="shared" si="74"/>
        <v>1</v>
      </c>
      <c r="AK160">
        <f>IF(SUMIFS(Detalle_OT!$J$2:$J$592,Detalle_OT!$B$2:$B$592,A160)&gt;0,1,0)</f>
        <v>0</v>
      </c>
      <c r="AL160">
        <f>IF(AND(OR(Dashboard!$D$5="Todos",AD160=Dashboard!$D$5),OR(Dashboard!$F$5="Todos",D160=Dashboard!$F$5),OR(Dashboard!$H$5="Todos",I160=Dashboard!$H$5)),1,0)</f>
        <v>1</v>
      </c>
      <c r="AM160">
        <f>IF(AND(OR(Control_Mandante!$C$4="Todos", AD160=Control_Mandante!$C$4), OR(Control_Mandante!$F$4="Todos", B160=Control_Mandante!$F$4), OR(Control_Mandante!$I$4="Todos", W160=Control_Mandante!$I$4), OR(Control_Mandante!$L$4="Todos", H160=Control_Mandante!$L$4)), 1, 0)</f>
        <v>1</v>
      </c>
      <c r="AN160" t="str">
        <f>IF(AH160=1, COUNTIF(AH$2:AH160, 1), "")</f>
        <v/>
      </c>
      <c r="AO160">
        <f>IF(AJ160=1, COUNTIF(AJ$2:AJ160, 1), "")</f>
        <v>6</v>
      </c>
      <c r="AP160" t="str">
        <f>IF(AK160=1, COUNTIF(AK$2:AK160, 1), "")</f>
        <v/>
      </c>
    </row>
    <row r="161" spans="1:42" x14ac:dyDescent="0.25">
      <c r="A161" t="s">
        <v>1061</v>
      </c>
      <c r="B161" t="s">
        <v>200</v>
      </c>
      <c r="C161" t="s">
        <v>1062</v>
      </c>
      <c r="D161" t="s">
        <v>276</v>
      </c>
      <c r="E161" s="43">
        <v>46294</v>
      </c>
      <c r="F161" s="43">
        <v>46298</v>
      </c>
      <c r="G161" s="43">
        <v>46298</v>
      </c>
      <c r="H161" t="s">
        <v>229</v>
      </c>
      <c r="I161" t="s">
        <v>277</v>
      </c>
      <c r="J161" t="s">
        <v>1063</v>
      </c>
      <c r="K161" s="43">
        <v>46294</v>
      </c>
      <c r="L161">
        <f t="shared" si="63"/>
        <v>399330</v>
      </c>
      <c r="M161" t="s">
        <v>279</v>
      </c>
      <c r="N161" t="s">
        <v>1064</v>
      </c>
      <c r="O161" s="43">
        <v>46295</v>
      </c>
      <c r="P161">
        <f t="shared" si="75"/>
        <v>399330</v>
      </c>
      <c r="Q161" t="s">
        <v>281</v>
      </c>
      <c r="R161" t="s">
        <v>1065</v>
      </c>
      <c r="S161" s="43">
        <v>46300</v>
      </c>
      <c r="T161">
        <f>X161</f>
        <v>399330</v>
      </c>
      <c r="U161">
        <f>T161</f>
        <v>399330</v>
      </c>
      <c r="V161">
        <f t="shared" si="64"/>
        <v>0</v>
      </c>
      <c r="W161" t="str">
        <f t="shared" si="65"/>
        <v>CUADRADO (3-WAY OK)</v>
      </c>
      <c r="X161">
        <f>SUMIFS(Detalle_OT!$I$2:$I$592,Detalle_OT!$B$2:$B$592,A161)</f>
        <v>399330</v>
      </c>
      <c r="Y161">
        <f>SUMIFS(Detalle_OT!$H$2:$H$592,Detalle_OT!$B$2:$B$592,A161,Detalle_OT!$C$2:$C$592,"Repuesto")</f>
        <v>107980</v>
      </c>
      <c r="Z161">
        <f>SUMIFS(Detalle_OT!$H$2:$H$592,Detalle_OT!$B$2:$B$592,A161,Detalle_OT!$C$2:$C$592,"Mano de Obra")</f>
        <v>140000</v>
      </c>
      <c r="AA161">
        <f t="shared" si="66"/>
        <v>151350</v>
      </c>
      <c r="AB161">
        <f t="shared" si="67"/>
        <v>0.37900984148448652</v>
      </c>
      <c r="AC161" t="str">
        <f t="shared" si="68"/>
        <v>Margen No Negativo Confirmado</v>
      </c>
      <c r="AD161" t="str">
        <f t="shared" si="69"/>
        <v>2026-09</v>
      </c>
      <c r="AE161" t="str">
        <f t="shared" si="70"/>
        <v>Semana 40</v>
      </c>
      <c r="AF161">
        <f t="shared" si="71"/>
        <v>4</v>
      </c>
      <c r="AG161">
        <f t="shared" si="72"/>
        <v>1</v>
      </c>
      <c r="AH161">
        <f>IF(AND(G161="",OR(I161="En Curso",I161="Reprogramada"),F161&lt;Dashboard!$B$5),1,0)</f>
        <v>0</v>
      </c>
      <c r="AI161">
        <f t="shared" si="73"/>
        <v>0</v>
      </c>
      <c r="AJ161">
        <f t="shared" si="74"/>
        <v>0</v>
      </c>
      <c r="AK161">
        <f>IF(SUMIFS(Detalle_OT!$J$2:$J$592,Detalle_OT!$B$2:$B$592,A161)&gt;0,1,0)</f>
        <v>0</v>
      </c>
      <c r="AL161">
        <f>IF(AND(OR(Dashboard!$D$5="Todos",AD161=Dashboard!$D$5),OR(Dashboard!$F$5="Todos",D161=Dashboard!$F$5),OR(Dashboard!$H$5="Todos",I161=Dashboard!$H$5)),1,0)</f>
        <v>1</v>
      </c>
      <c r="AM161">
        <f>IF(AND(OR(Control_Mandante!$C$4="Todos", AD161=Control_Mandante!$C$4), OR(Control_Mandante!$F$4="Todos", B161=Control_Mandante!$F$4), OR(Control_Mandante!$I$4="Todos", W161=Control_Mandante!$I$4), OR(Control_Mandante!$L$4="Todos", H161=Control_Mandante!$L$4)), 1, 0)</f>
        <v>1</v>
      </c>
      <c r="AN161" t="str">
        <f>IF(AH161=1, COUNTIF(AH$2:AH161, 1), "")</f>
        <v/>
      </c>
      <c r="AO161" t="str">
        <f>IF(AJ161=1, COUNTIF(AJ$2:AJ161, 1), "")</f>
        <v/>
      </c>
      <c r="AP161" t="str">
        <f>IF(AK161=1, COUNTIF(AK$2:AK161, 1), "")</f>
        <v/>
      </c>
    </row>
    <row r="162" spans="1:42" x14ac:dyDescent="0.25">
      <c r="A162" t="s">
        <v>1066</v>
      </c>
      <c r="B162" t="s">
        <v>206</v>
      </c>
      <c r="C162" t="s">
        <v>1067</v>
      </c>
      <c r="D162" t="s">
        <v>295</v>
      </c>
      <c r="E162" s="43">
        <v>46297</v>
      </c>
      <c r="F162" s="43">
        <v>46311</v>
      </c>
      <c r="G162" s="43">
        <v>46314</v>
      </c>
      <c r="H162" t="s">
        <v>225</v>
      </c>
      <c r="I162" t="s">
        <v>277</v>
      </c>
      <c r="J162" t="s">
        <v>1068</v>
      </c>
      <c r="K162" s="43">
        <v>46297</v>
      </c>
      <c r="L162">
        <f t="shared" ref="L162:L181" si="78">X162</f>
        <v>1230830</v>
      </c>
      <c r="M162" t="s">
        <v>279</v>
      </c>
      <c r="N162" t="s">
        <v>1069</v>
      </c>
      <c r="O162" s="43">
        <v>46298</v>
      </c>
      <c r="P162">
        <f t="shared" si="75"/>
        <v>1230830</v>
      </c>
      <c r="Q162" t="s">
        <v>281</v>
      </c>
      <c r="R162" t="s">
        <v>1070</v>
      </c>
      <c r="S162" s="43">
        <v>46316</v>
      </c>
      <c r="T162">
        <f>X162</f>
        <v>1230830</v>
      </c>
      <c r="U162">
        <f>T162</f>
        <v>1230830</v>
      </c>
      <c r="V162">
        <f t="shared" ref="V162:V193" si="79">IF(R162&lt;&gt;"", T162-U162, 0)</f>
        <v>0</v>
      </c>
      <c r="W162" t="str">
        <f t="shared" ref="W162:W181" si="80">IF(OR(M162="Pendiente", M162="Rechazado"), "Presupuesto No Aprobado", IF(N162="", "Falta OC Mandante", IF(R162="", "OC Recibida - Pendiente Factura", IF(AND(L162=P162, P162=T162), "CUADRADO (3-WAY OK)", "DESCUADRE DE MONTOS"))))</f>
        <v>CUADRADO (3-WAY OK)</v>
      </c>
      <c r="X162">
        <f>SUMIFS(Detalle_OT!$I$2:$I$592,Detalle_OT!$B$2:$B$592,A162)</f>
        <v>1230830</v>
      </c>
      <c r="Y162">
        <f>SUMIFS(Detalle_OT!$H$2:$H$592,Detalle_OT!$B$2:$B$592,A162,Detalle_OT!$C$2:$C$592,"Repuesto")</f>
        <v>506410</v>
      </c>
      <c r="Z162">
        <f>SUMIFS(Detalle_OT!$H$2:$H$592,Detalle_OT!$B$2:$B$592,A162,Detalle_OT!$C$2:$C$592,"Mano de Obra")</f>
        <v>310500</v>
      </c>
      <c r="AA162">
        <f t="shared" ref="AA162:AA193" si="81">IF(AK162=1, "", X162-Y162-Z162)</f>
        <v>413920</v>
      </c>
      <c r="AB162">
        <f t="shared" ref="AB162:AB193" si="82">IF(OR(AK162=1, X162=0, ISBLANK(X162)), "", AA162/X162)</f>
        <v>0.33629339551359649</v>
      </c>
      <c r="AC162" t="str">
        <f t="shared" ref="AC162:AC181" si="83">IF(AK162=1, "Pendiente de Validación", IF(AA162&lt;0, "Margen Negativo Confirmado", "Margen No Negativo Confirmado"))</f>
        <v>Margen No Negativo Confirmado</v>
      </c>
      <c r="AD162" t="str">
        <f t="shared" ref="AD162:AD181" si="84">YEAR(E162)&amp;"-"&amp;TEXT(MONTH(E162),"00")</f>
        <v>2026-10</v>
      </c>
      <c r="AE162" t="str">
        <f t="shared" ref="AE162:AE181" si="85">"Semana "&amp;WEEKNUM(E162)</f>
        <v>Semana 40</v>
      </c>
      <c r="AF162">
        <f t="shared" ref="AF162:AF181" si="86">IF(G162&lt;&gt;"", G162-E162, "")</f>
        <v>17</v>
      </c>
      <c r="AG162">
        <f t="shared" ref="AG162:AG181" si="87">IF(G162="","",IF(G162&lt;=F162,1,0))</f>
        <v>0</v>
      </c>
      <c r="AH162">
        <f>IF(AND(G162="",OR(I162="En Curso",I162="Reprogramada"),F162&lt;Dashboard!$B$5),1,0)</f>
        <v>0</v>
      </c>
      <c r="AI162">
        <f t="shared" ref="AI162:AI181" si="88">IF(AND(M162="Aprobado", N162=""), 1, 0)</f>
        <v>0</v>
      </c>
      <c r="AJ162">
        <f t="shared" ref="AJ162:AJ181" si="89">IF(AND(OR(I162="Terminada",I162="Entregada"), R162=""), 1, 0)</f>
        <v>0</v>
      </c>
      <c r="AK162">
        <f>IF(SUMIFS(Detalle_OT!$J$2:$J$592,Detalle_OT!$B$2:$B$592,A162)&gt;0,1,0)</f>
        <v>0</v>
      </c>
      <c r="AL162">
        <f>IF(AND(OR(Dashboard!$D$5="Todos",AD162=Dashboard!$D$5),OR(Dashboard!$F$5="Todos",D162=Dashboard!$F$5),OR(Dashboard!$H$5="Todos",I162=Dashboard!$H$5)),1,0)</f>
        <v>1</v>
      </c>
      <c r="AM162">
        <f>IF(AND(OR(Control_Mandante!$C$4="Todos", AD162=Control_Mandante!$C$4), OR(Control_Mandante!$F$4="Todos", B162=Control_Mandante!$F$4), OR(Control_Mandante!$I$4="Todos", W162=Control_Mandante!$I$4), OR(Control_Mandante!$L$4="Todos", H162=Control_Mandante!$L$4)), 1, 0)</f>
        <v>1</v>
      </c>
      <c r="AN162" t="str">
        <f>IF(AH162=1, COUNTIF(AH$2:AH162, 1), "")</f>
        <v/>
      </c>
      <c r="AO162" t="str">
        <f>IF(AJ162=1, COUNTIF(AJ$2:AJ162, 1), "")</f>
        <v/>
      </c>
      <c r="AP162" t="str">
        <f>IF(AK162=1, COUNTIF(AK$2:AK162, 1), "")</f>
        <v/>
      </c>
    </row>
    <row r="163" spans="1:42" x14ac:dyDescent="0.25">
      <c r="A163" t="s">
        <v>1071</v>
      </c>
      <c r="B163" t="s">
        <v>190</v>
      </c>
      <c r="C163" t="s">
        <v>1072</v>
      </c>
      <c r="D163" t="s">
        <v>276</v>
      </c>
      <c r="E163" s="43">
        <v>46299</v>
      </c>
      <c r="F163" s="43">
        <v>46303</v>
      </c>
      <c r="G163" s="43">
        <v>46303</v>
      </c>
      <c r="H163" t="s">
        <v>215</v>
      </c>
      <c r="I163" t="s">
        <v>277</v>
      </c>
      <c r="J163" t="s">
        <v>1073</v>
      </c>
      <c r="K163" s="43">
        <v>46299</v>
      </c>
      <c r="L163">
        <f t="shared" si="78"/>
        <v>207390</v>
      </c>
      <c r="M163" t="s">
        <v>279</v>
      </c>
      <c r="N163" t="s">
        <v>1074</v>
      </c>
      <c r="O163" s="43">
        <v>46300</v>
      </c>
      <c r="P163">
        <f t="shared" si="75"/>
        <v>207390</v>
      </c>
      <c r="Q163" t="s">
        <v>281</v>
      </c>
      <c r="R163" t="s">
        <v>1075</v>
      </c>
      <c r="S163" s="43">
        <v>46305</v>
      </c>
      <c r="T163">
        <f>X163</f>
        <v>207390</v>
      </c>
      <c r="U163">
        <f>T163*0.5</f>
        <v>103695</v>
      </c>
      <c r="V163">
        <f t="shared" si="79"/>
        <v>103695</v>
      </c>
      <c r="W163" t="str">
        <f t="shared" si="80"/>
        <v>CUADRADO (3-WAY OK)</v>
      </c>
      <c r="X163">
        <f>SUMIFS(Detalle_OT!$I$2:$I$592,Detalle_OT!$B$2:$B$592,A163)</f>
        <v>207390</v>
      </c>
      <c r="Y163">
        <f>SUMIFS(Detalle_OT!$H$2:$H$592,Detalle_OT!$B$2:$B$592,A163,Detalle_OT!$C$2:$C$592,"Repuesto")</f>
        <v>94050</v>
      </c>
      <c r="Z163">
        <f>SUMIFS(Detalle_OT!$H$2:$H$592,Detalle_OT!$B$2:$B$592,A163,Detalle_OT!$C$2:$C$592,"Mano de Obra")</f>
        <v>47800</v>
      </c>
      <c r="AA163">
        <f t="shared" si="81"/>
        <v>65540</v>
      </c>
      <c r="AB163">
        <f t="shared" si="82"/>
        <v>0.3160229519263224</v>
      </c>
      <c r="AC163" t="str">
        <f t="shared" si="83"/>
        <v>Margen No Negativo Confirmado</v>
      </c>
      <c r="AD163" t="str">
        <f t="shared" si="84"/>
        <v>2026-10</v>
      </c>
      <c r="AE163" t="str">
        <f t="shared" si="85"/>
        <v>Semana 41</v>
      </c>
      <c r="AF163">
        <f t="shared" si="86"/>
        <v>4</v>
      </c>
      <c r="AG163">
        <f t="shared" si="87"/>
        <v>1</v>
      </c>
      <c r="AH163">
        <f>IF(AND(G163="",OR(I163="En Curso",I163="Reprogramada"),F163&lt;Dashboard!$B$5),1,0)</f>
        <v>0</v>
      </c>
      <c r="AI163">
        <f t="shared" si="88"/>
        <v>0</v>
      </c>
      <c r="AJ163">
        <f t="shared" si="89"/>
        <v>0</v>
      </c>
      <c r="AK163">
        <f>IF(SUMIFS(Detalle_OT!$J$2:$J$592,Detalle_OT!$B$2:$B$592,A163)&gt;0,1,0)</f>
        <v>0</v>
      </c>
      <c r="AL163">
        <f>IF(AND(OR(Dashboard!$D$5="Todos",AD163=Dashboard!$D$5),OR(Dashboard!$F$5="Todos",D163=Dashboard!$F$5),OR(Dashboard!$H$5="Todos",I163=Dashboard!$H$5)),1,0)</f>
        <v>1</v>
      </c>
      <c r="AM163">
        <f>IF(AND(OR(Control_Mandante!$C$4="Todos", AD163=Control_Mandante!$C$4), OR(Control_Mandante!$F$4="Todos", B163=Control_Mandante!$F$4), OR(Control_Mandante!$I$4="Todos", W163=Control_Mandante!$I$4), OR(Control_Mandante!$L$4="Todos", H163=Control_Mandante!$L$4)), 1, 0)</f>
        <v>1</v>
      </c>
      <c r="AN163" t="str">
        <f>IF(AH163=1, COUNTIF(AH$2:AH163, 1), "")</f>
        <v/>
      </c>
      <c r="AO163" t="str">
        <f>IF(AJ163=1, COUNTIF(AJ$2:AJ163, 1), "")</f>
        <v/>
      </c>
      <c r="AP163" t="str">
        <f>IF(AK163=1, COUNTIF(AK$2:AK163, 1), "")</f>
        <v/>
      </c>
    </row>
    <row r="164" spans="1:42" x14ac:dyDescent="0.25">
      <c r="A164" t="s">
        <v>1076</v>
      </c>
      <c r="B164" t="s">
        <v>190</v>
      </c>
      <c r="C164" t="s">
        <v>1077</v>
      </c>
      <c r="D164" t="s">
        <v>276</v>
      </c>
      <c r="E164" s="43">
        <v>46299</v>
      </c>
      <c r="F164" s="43">
        <v>46302</v>
      </c>
      <c r="G164" s="43">
        <v>46300</v>
      </c>
      <c r="H164" t="s">
        <v>220</v>
      </c>
      <c r="I164" t="s">
        <v>277</v>
      </c>
      <c r="J164" t="s">
        <v>1078</v>
      </c>
      <c r="K164" s="43">
        <v>46299</v>
      </c>
      <c r="L164">
        <f t="shared" si="78"/>
        <v>480250</v>
      </c>
      <c r="M164" t="s">
        <v>279</v>
      </c>
      <c r="N164" t="s">
        <v>1079</v>
      </c>
      <c r="O164" s="43">
        <v>46300</v>
      </c>
      <c r="P164">
        <f t="shared" si="75"/>
        <v>480250</v>
      </c>
      <c r="Q164" t="s">
        <v>281</v>
      </c>
      <c r="R164" t="s">
        <v>1080</v>
      </c>
      <c r="S164" s="43">
        <v>46302</v>
      </c>
      <c r="T164">
        <f>X164</f>
        <v>480250</v>
      </c>
      <c r="U164">
        <f>T164</f>
        <v>480250</v>
      </c>
      <c r="V164">
        <f t="shared" si="79"/>
        <v>0</v>
      </c>
      <c r="W164" t="str">
        <f t="shared" si="80"/>
        <v>CUADRADO (3-WAY OK)</v>
      </c>
      <c r="X164">
        <f>SUMIFS(Detalle_OT!$I$2:$I$592,Detalle_OT!$B$2:$B$592,A164)</f>
        <v>480250</v>
      </c>
      <c r="Y164">
        <f>SUMIFS(Detalle_OT!$H$2:$H$592,Detalle_OT!$B$2:$B$592,A164,Detalle_OT!$C$2:$C$592,"Repuesto")</f>
        <v>306510</v>
      </c>
      <c r="Z164">
        <f>SUMIFS(Detalle_OT!$H$2:$H$592,Detalle_OT!$B$2:$B$592,A164,Detalle_OT!$C$2:$C$592,"Mano de Obra")</f>
        <v>45600</v>
      </c>
      <c r="AA164">
        <f t="shared" si="81"/>
        <v>128140</v>
      </c>
      <c r="AB164">
        <f t="shared" si="82"/>
        <v>0.26681936491410724</v>
      </c>
      <c r="AC164" t="str">
        <f t="shared" si="83"/>
        <v>Margen No Negativo Confirmado</v>
      </c>
      <c r="AD164" t="str">
        <f t="shared" si="84"/>
        <v>2026-10</v>
      </c>
      <c r="AE164" t="str">
        <f t="shared" si="85"/>
        <v>Semana 41</v>
      </c>
      <c r="AF164">
        <f t="shared" si="86"/>
        <v>1</v>
      </c>
      <c r="AG164">
        <f t="shared" si="87"/>
        <v>1</v>
      </c>
      <c r="AH164">
        <f>IF(AND(G164="",OR(I164="En Curso",I164="Reprogramada"),F164&lt;Dashboard!$B$5),1,0)</f>
        <v>0</v>
      </c>
      <c r="AI164">
        <f t="shared" si="88"/>
        <v>0</v>
      </c>
      <c r="AJ164">
        <f t="shared" si="89"/>
        <v>0</v>
      </c>
      <c r="AK164">
        <f>IF(SUMIFS(Detalle_OT!$J$2:$J$592,Detalle_OT!$B$2:$B$592,A164)&gt;0,1,0)</f>
        <v>0</v>
      </c>
      <c r="AL164">
        <f>IF(AND(OR(Dashboard!$D$5="Todos",AD164=Dashboard!$D$5),OR(Dashboard!$F$5="Todos",D164=Dashboard!$F$5),OR(Dashboard!$H$5="Todos",I164=Dashboard!$H$5)),1,0)</f>
        <v>1</v>
      </c>
      <c r="AM164">
        <f>IF(AND(OR(Control_Mandante!$C$4="Todos", AD164=Control_Mandante!$C$4), OR(Control_Mandante!$F$4="Todos", B164=Control_Mandante!$F$4), OR(Control_Mandante!$I$4="Todos", W164=Control_Mandante!$I$4), OR(Control_Mandante!$L$4="Todos", H164=Control_Mandante!$L$4)), 1, 0)</f>
        <v>1</v>
      </c>
      <c r="AN164" t="str">
        <f>IF(AH164=1, COUNTIF(AH$2:AH164, 1), "")</f>
        <v/>
      </c>
      <c r="AO164" t="str">
        <f>IF(AJ164=1, COUNTIF(AJ$2:AJ164, 1), "")</f>
        <v/>
      </c>
      <c r="AP164" t="str">
        <f>IF(AK164=1, COUNTIF(AK$2:AK164, 1), "")</f>
        <v/>
      </c>
    </row>
    <row r="165" spans="1:42" x14ac:dyDescent="0.25">
      <c r="A165" t="s">
        <v>1081</v>
      </c>
      <c r="B165" t="s">
        <v>196</v>
      </c>
      <c r="C165" t="s">
        <v>1082</v>
      </c>
      <c r="D165" t="s">
        <v>295</v>
      </c>
      <c r="E165" s="43">
        <v>46299</v>
      </c>
      <c r="F165" s="43">
        <v>46312</v>
      </c>
      <c r="G165" s="43">
        <v>46312</v>
      </c>
      <c r="H165" t="s">
        <v>227</v>
      </c>
      <c r="I165" t="s">
        <v>277</v>
      </c>
      <c r="J165" t="s">
        <v>1083</v>
      </c>
      <c r="K165" s="43">
        <v>46299</v>
      </c>
      <c r="L165">
        <f t="shared" si="78"/>
        <v>1927800</v>
      </c>
      <c r="M165" t="s">
        <v>279</v>
      </c>
      <c r="N165" t="s">
        <v>1084</v>
      </c>
      <c r="O165" s="43">
        <v>46300</v>
      </c>
      <c r="P165">
        <f t="shared" si="75"/>
        <v>1927800</v>
      </c>
      <c r="Q165" t="s">
        <v>281</v>
      </c>
      <c r="R165" t="s">
        <v>1085</v>
      </c>
      <c r="S165" s="43">
        <v>46314</v>
      </c>
      <c r="T165">
        <f>X165</f>
        <v>1927800</v>
      </c>
      <c r="U165">
        <f>T165</f>
        <v>1927800</v>
      </c>
      <c r="V165">
        <f t="shared" si="79"/>
        <v>0</v>
      </c>
      <c r="W165" t="str">
        <f t="shared" si="80"/>
        <v>CUADRADO (3-WAY OK)</v>
      </c>
      <c r="X165">
        <f>SUMIFS(Detalle_OT!$I$2:$I$592,Detalle_OT!$B$2:$B$592,A165)</f>
        <v>1927800</v>
      </c>
      <c r="Y165">
        <f>SUMIFS(Detalle_OT!$H$2:$H$592,Detalle_OT!$B$2:$B$592,A165,Detalle_OT!$C$2:$C$592,"Repuesto")</f>
        <v>555350</v>
      </c>
      <c r="Z165">
        <f>SUMIFS(Detalle_OT!$H$2:$H$592,Detalle_OT!$B$2:$B$592,A165,Detalle_OT!$C$2:$C$592,"Mano de Obra")</f>
        <v>600600</v>
      </c>
      <c r="AA165">
        <f t="shared" si="81"/>
        <v>771850</v>
      </c>
      <c r="AB165">
        <f t="shared" si="82"/>
        <v>0.40037866998651311</v>
      </c>
      <c r="AC165" t="str">
        <f t="shared" si="83"/>
        <v>Margen No Negativo Confirmado</v>
      </c>
      <c r="AD165" t="str">
        <f t="shared" si="84"/>
        <v>2026-10</v>
      </c>
      <c r="AE165" t="str">
        <f t="shared" si="85"/>
        <v>Semana 41</v>
      </c>
      <c r="AF165">
        <f t="shared" si="86"/>
        <v>13</v>
      </c>
      <c r="AG165">
        <f t="shared" si="87"/>
        <v>1</v>
      </c>
      <c r="AH165">
        <f>IF(AND(G165="",OR(I165="En Curso",I165="Reprogramada"),F165&lt;Dashboard!$B$5),1,0)</f>
        <v>0</v>
      </c>
      <c r="AI165">
        <f t="shared" si="88"/>
        <v>0</v>
      </c>
      <c r="AJ165">
        <f t="shared" si="89"/>
        <v>0</v>
      </c>
      <c r="AK165">
        <f>IF(SUMIFS(Detalle_OT!$J$2:$J$592,Detalle_OT!$B$2:$B$592,A165)&gt;0,1,0)</f>
        <v>0</v>
      </c>
      <c r="AL165">
        <f>IF(AND(OR(Dashboard!$D$5="Todos",AD165=Dashboard!$D$5),OR(Dashboard!$F$5="Todos",D165=Dashboard!$F$5),OR(Dashboard!$H$5="Todos",I165=Dashboard!$H$5)),1,0)</f>
        <v>1</v>
      </c>
      <c r="AM165">
        <f>IF(AND(OR(Control_Mandante!$C$4="Todos", AD165=Control_Mandante!$C$4), OR(Control_Mandante!$F$4="Todos", B165=Control_Mandante!$F$4), OR(Control_Mandante!$I$4="Todos", W165=Control_Mandante!$I$4), OR(Control_Mandante!$L$4="Todos", H165=Control_Mandante!$L$4)), 1, 0)</f>
        <v>1</v>
      </c>
      <c r="AN165" t="str">
        <f>IF(AH165=1, COUNTIF(AH$2:AH165, 1), "")</f>
        <v/>
      </c>
      <c r="AO165" t="str">
        <f>IF(AJ165=1, COUNTIF(AJ$2:AJ165, 1), "")</f>
        <v/>
      </c>
      <c r="AP165" t="str">
        <f>IF(AK165=1, COUNTIF(AK$2:AK165, 1), "")</f>
        <v/>
      </c>
    </row>
    <row r="166" spans="1:42" x14ac:dyDescent="0.25">
      <c r="A166" t="s">
        <v>1086</v>
      </c>
      <c r="B166" t="s">
        <v>187</v>
      </c>
      <c r="C166" t="s">
        <v>1087</v>
      </c>
      <c r="D166" t="s">
        <v>301</v>
      </c>
      <c r="E166" s="43">
        <v>46300</v>
      </c>
      <c r="F166" s="43">
        <v>46308</v>
      </c>
      <c r="G166" s="43">
        <v>46306</v>
      </c>
      <c r="H166" t="s">
        <v>220</v>
      </c>
      <c r="I166" t="s">
        <v>290</v>
      </c>
      <c r="J166" t="s">
        <v>1088</v>
      </c>
      <c r="K166" s="43">
        <v>46300</v>
      </c>
      <c r="L166">
        <f t="shared" si="78"/>
        <v>133430</v>
      </c>
      <c r="M166" t="s">
        <v>279</v>
      </c>
      <c r="N166" t="s">
        <v>1089</v>
      </c>
      <c r="O166" s="43">
        <v>46301</v>
      </c>
      <c r="P166">
        <f t="shared" si="75"/>
        <v>133430</v>
      </c>
      <c r="Q166" t="s">
        <v>281</v>
      </c>
      <c r="T166">
        <v>0</v>
      </c>
      <c r="U166">
        <v>0</v>
      </c>
      <c r="V166">
        <f t="shared" si="79"/>
        <v>0</v>
      </c>
      <c r="W166" t="str">
        <f t="shared" si="80"/>
        <v>OC Recibida - Pendiente Factura</v>
      </c>
      <c r="X166">
        <f>SUMIFS(Detalle_OT!$I$2:$I$592,Detalle_OT!$B$2:$B$592,A166)</f>
        <v>133430</v>
      </c>
      <c r="Y166">
        <f>SUMIFS(Detalle_OT!$H$2:$H$592,Detalle_OT!$B$2:$B$592,A166,Detalle_OT!$C$2:$C$592,"Repuesto")</f>
        <v>97260</v>
      </c>
      <c r="Z166">
        <f>SUMIFS(Detalle_OT!$H$2:$H$592,Detalle_OT!$B$2:$B$592,A166,Detalle_OT!$C$2:$C$592,"Mano de Obra")</f>
        <v>53200</v>
      </c>
      <c r="AA166">
        <f t="shared" si="81"/>
        <v>-17030</v>
      </c>
      <c r="AB166">
        <f t="shared" si="82"/>
        <v>-0.1276324664618152</v>
      </c>
      <c r="AC166" t="str">
        <f t="shared" si="83"/>
        <v>Margen Negativo Confirmado</v>
      </c>
      <c r="AD166" t="str">
        <f t="shared" si="84"/>
        <v>2026-10</v>
      </c>
      <c r="AE166" t="str">
        <f t="shared" si="85"/>
        <v>Semana 41</v>
      </c>
      <c r="AF166">
        <f t="shared" si="86"/>
        <v>6</v>
      </c>
      <c r="AG166">
        <f t="shared" si="87"/>
        <v>1</v>
      </c>
      <c r="AH166">
        <f>IF(AND(G166="",OR(I166="En Curso",I166="Reprogramada"),F166&lt;Dashboard!$B$5),1,0)</f>
        <v>0</v>
      </c>
      <c r="AI166">
        <f t="shared" si="88"/>
        <v>0</v>
      </c>
      <c r="AJ166">
        <f t="shared" si="89"/>
        <v>1</v>
      </c>
      <c r="AK166">
        <f>IF(SUMIFS(Detalle_OT!$J$2:$J$592,Detalle_OT!$B$2:$B$592,A166)&gt;0,1,0)</f>
        <v>0</v>
      </c>
      <c r="AL166">
        <f>IF(AND(OR(Dashboard!$D$5="Todos",AD166=Dashboard!$D$5),OR(Dashboard!$F$5="Todos",D166=Dashboard!$F$5),OR(Dashboard!$H$5="Todos",I166=Dashboard!$H$5)),1,0)</f>
        <v>1</v>
      </c>
      <c r="AM166">
        <f>IF(AND(OR(Control_Mandante!$C$4="Todos", AD166=Control_Mandante!$C$4), OR(Control_Mandante!$F$4="Todos", B166=Control_Mandante!$F$4), OR(Control_Mandante!$I$4="Todos", W166=Control_Mandante!$I$4), OR(Control_Mandante!$L$4="Todos", H166=Control_Mandante!$L$4)), 1, 0)</f>
        <v>1</v>
      </c>
      <c r="AN166" t="str">
        <f>IF(AH166=1, COUNTIF(AH$2:AH166, 1), "")</f>
        <v/>
      </c>
      <c r="AO166">
        <f>IF(AJ166=1, COUNTIF(AJ$2:AJ166, 1), "")</f>
        <v>7</v>
      </c>
      <c r="AP166" t="str">
        <f>IF(AK166=1, COUNTIF(AK$2:AK166, 1), "")</f>
        <v/>
      </c>
    </row>
    <row r="167" spans="1:42" x14ac:dyDescent="0.25">
      <c r="A167" t="s">
        <v>1090</v>
      </c>
      <c r="B167" t="s">
        <v>165</v>
      </c>
      <c r="C167" t="s">
        <v>1091</v>
      </c>
      <c r="D167" t="s">
        <v>276</v>
      </c>
      <c r="E167" s="43">
        <v>46300</v>
      </c>
      <c r="F167" s="43">
        <v>46304</v>
      </c>
      <c r="G167" s="43">
        <v>46304</v>
      </c>
      <c r="H167" t="s">
        <v>215</v>
      </c>
      <c r="I167" t="s">
        <v>277</v>
      </c>
      <c r="J167" t="s">
        <v>1092</v>
      </c>
      <c r="K167" s="43">
        <v>46300</v>
      </c>
      <c r="L167">
        <f t="shared" si="78"/>
        <v>463170</v>
      </c>
      <c r="M167" t="s">
        <v>279</v>
      </c>
      <c r="N167" t="s">
        <v>1093</v>
      </c>
      <c r="O167" s="43">
        <v>46301</v>
      </c>
      <c r="P167">
        <f t="shared" si="75"/>
        <v>463170</v>
      </c>
      <c r="Q167" t="s">
        <v>281</v>
      </c>
      <c r="R167" t="s">
        <v>1094</v>
      </c>
      <c r="S167" s="43">
        <v>46306</v>
      </c>
      <c r="T167">
        <f>X167</f>
        <v>463170</v>
      </c>
      <c r="U167">
        <f>T167</f>
        <v>463170</v>
      </c>
      <c r="V167">
        <f t="shared" si="79"/>
        <v>0</v>
      </c>
      <c r="W167" t="str">
        <f t="shared" si="80"/>
        <v>CUADRADO (3-WAY OK)</v>
      </c>
      <c r="X167">
        <f>SUMIFS(Detalle_OT!$I$2:$I$592,Detalle_OT!$B$2:$B$592,A167)</f>
        <v>463170</v>
      </c>
      <c r="Y167">
        <f>SUMIFS(Detalle_OT!$H$2:$H$592,Detalle_OT!$B$2:$B$592,A167,Detalle_OT!$C$2:$C$592,"Repuesto")</f>
        <v>221040</v>
      </c>
      <c r="Z167">
        <f>SUMIFS(Detalle_OT!$H$2:$H$592,Detalle_OT!$B$2:$B$592,A167,Detalle_OT!$C$2:$C$592,"Mano de Obra")</f>
        <v>103200</v>
      </c>
      <c r="AA167">
        <f t="shared" si="81"/>
        <v>138930</v>
      </c>
      <c r="AB167">
        <f t="shared" si="82"/>
        <v>0.2999546602759246</v>
      </c>
      <c r="AC167" t="str">
        <f t="shared" si="83"/>
        <v>Margen No Negativo Confirmado</v>
      </c>
      <c r="AD167" t="str">
        <f t="shared" si="84"/>
        <v>2026-10</v>
      </c>
      <c r="AE167" t="str">
        <f t="shared" si="85"/>
        <v>Semana 41</v>
      </c>
      <c r="AF167">
        <f t="shared" si="86"/>
        <v>4</v>
      </c>
      <c r="AG167">
        <f t="shared" si="87"/>
        <v>1</v>
      </c>
      <c r="AH167">
        <f>IF(AND(G167="",OR(I167="En Curso",I167="Reprogramada"),F167&lt;Dashboard!$B$5),1,0)</f>
        <v>0</v>
      </c>
      <c r="AI167">
        <f t="shared" si="88"/>
        <v>0</v>
      </c>
      <c r="AJ167">
        <f t="shared" si="89"/>
        <v>0</v>
      </c>
      <c r="AK167">
        <f>IF(SUMIFS(Detalle_OT!$J$2:$J$592,Detalle_OT!$B$2:$B$592,A167)&gt;0,1,0)</f>
        <v>0</v>
      </c>
      <c r="AL167">
        <f>IF(AND(OR(Dashboard!$D$5="Todos",AD167=Dashboard!$D$5),OR(Dashboard!$F$5="Todos",D167=Dashboard!$F$5),OR(Dashboard!$H$5="Todos",I167=Dashboard!$H$5)),1,0)</f>
        <v>1</v>
      </c>
      <c r="AM167">
        <f>IF(AND(OR(Control_Mandante!$C$4="Todos", AD167=Control_Mandante!$C$4), OR(Control_Mandante!$F$4="Todos", B167=Control_Mandante!$F$4), OR(Control_Mandante!$I$4="Todos", W167=Control_Mandante!$I$4), OR(Control_Mandante!$L$4="Todos", H167=Control_Mandante!$L$4)), 1, 0)</f>
        <v>1</v>
      </c>
      <c r="AN167" t="str">
        <f>IF(AH167=1, COUNTIF(AH$2:AH167, 1), "")</f>
        <v/>
      </c>
      <c r="AO167" t="str">
        <f>IF(AJ167=1, COUNTIF(AJ$2:AJ167, 1), "")</f>
        <v/>
      </c>
      <c r="AP167" t="str">
        <f>IF(AK167=1, COUNTIF(AK$2:AK167, 1), "")</f>
        <v/>
      </c>
    </row>
    <row r="168" spans="1:42" x14ac:dyDescent="0.25">
      <c r="A168" t="s">
        <v>1095</v>
      </c>
      <c r="B168" t="s">
        <v>196</v>
      </c>
      <c r="C168" t="s">
        <v>1096</v>
      </c>
      <c r="D168" t="s">
        <v>295</v>
      </c>
      <c r="E168" s="43">
        <v>46300</v>
      </c>
      <c r="F168" s="43">
        <v>46316</v>
      </c>
      <c r="G168" s="43">
        <v>46315</v>
      </c>
      <c r="H168" t="s">
        <v>215</v>
      </c>
      <c r="I168" t="s">
        <v>290</v>
      </c>
      <c r="J168" t="s">
        <v>1097</v>
      </c>
      <c r="K168" s="43">
        <v>46300</v>
      </c>
      <c r="L168">
        <f t="shared" si="78"/>
        <v>735130</v>
      </c>
      <c r="M168" t="s">
        <v>279</v>
      </c>
      <c r="N168" t="s">
        <v>1098</v>
      </c>
      <c r="O168" s="43">
        <v>46301</v>
      </c>
      <c r="P168">
        <f t="shared" si="75"/>
        <v>735130</v>
      </c>
      <c r="Q168" t="s">
        <v>281</v>
      </c>
      <c r="T168">
        <v>0</v>
      </c>
      <c r="U168">
        <v>0</v>
      </c>
      <c r="V168">
        <f t="shared" si="79"/>
        <v>0</v>
      </c>
      <c r="W168" t="str">
        <f t="shared" si="80"/>
        <v>OC Recibida - Pendiente Factura</v>
      </c>
      <c r="X168">
        <f>SUMIFS(Detalle_OT!$I$2:$I$592,Detalle_OT!$B$2:$B$592,A168)</f>
        <v>735130</v>
      </c>
      <c r="Y168">
        <f>SUMIFS(Detalle_OT!$H$2:$H$592,Detalle_OT!$B$2:$B$592,A168,Detalle_OT!$C$2:$C$592,"Repuesto")</f>
        <v>381470</v>
      </c>
      <c r="Z168">
        <f>SUMIFS(Detalle_OT!$H$2:$H$592,Detalle_OT!$B$2:$B$592,A168,Detalle_OT!$C$2:$C$592,"Mano de Obra")</f>
        <v>130000</v>
      </c>
      <c r="AA168">
        <f t="shared" si="81"/>
        <v>223660</v>
      </c>
      <c r="AB168">
        <f t="shared" si="82"/>
        <v>0.30424550759729574</v>
      </c>
      <c r="AC168" t="str">
        <f t="shared" si="83"/>
        <v>Margen No Negativo Confirmado</v>
      </c>
      <c r="AD168" t="str">
        <f t="shared" si="84"/>
        <v>2026-10</v>
      </c>
      <c r="AE168" t="str">
        <f t="shared" si="85"/>
        <v>Semana 41</v>
      </c>
      <c r="AF168">
        <f t="shared" si="86"/>
        <v>15</v>
      </c>
      <c r="AG168">
        <f t="shared" si="87"/>
        <v>1</v>
      </c>
      <c r="AH168">
        <f>IF(AND(G168="",OR(I168="En Curso",I168="Reprogramada"),F168&lt;Dashboard!$B$5),1,0)</f>
        <v>0</v>
      </c>
      <c r="AI168">
        <f t="shared" si="88"/>
        <v>0</v>
      </c>
      <c r="AJ168">
        <f t="shared" si="89"/>
        <v>1</v>
      </c>
      <c r="AK168">
        <f>IF(SUMIFS(Detalle_OT!$J$2:$J$592,Detalle_OT!$B$2:$B$592,A168)&gt;0,1,0)</f>
        <v>0</v>
      </c>
      <c r="AL168">
        <f>IF(AND(OR(Dashboard!$D$5="Todos",AD168=Dashboard!$D$5),OR(Dashboard!$F$5="Todos",D168=Dashboard!$F$5),OR(Dashboard!$H$5="Todos",I168=Dashboard!$H$5)),1,0)</f>
        <v>1</v>
      </c>
      <c r="AM168">
        <f>IF(AND(OR(Control_Mandante!$C$4="Todos", AD168=Control_Mandante!$C$4), OR(Control_Mandante!$F$4="Todos", B168=Control_Mandante!$F$4), OR(Control_Mandante!$I$4="Todos", W168=Control_Mandante!$I$4), OR(Control_Mandante!$L$4="Todos", H168=Control_Mandante!$L$4)), 1, 0)</f>
        <v>1</v>
      </c>
      <c r="AN168" t="str">
        <f>IF(AH168=1, COUNTIF(AH$2:AH168, 1), "")</f>
        <v/>
      </c>
      <c r="AO168">
        <f>IF(AJ168=1, COUNTIF(AJ$2:AJ168, 1), "")</f>
        <v>8</v>
      </c>
      <c r="AP168" t="str">
        <f>IF(AK168=1, COUNTIF(AK$2:AK168, 1), "")</f>
        <v/>
      </c>
    </row>
    <row r="169" spans="1:42" x14ac:dyDescent="0.25">
      <c r="A169" t="s">
        <v>1099</v>
      </c>
      <c r="B169" t="s">
        <v>206</v>
      </c>
      <c r="C169" t="s">
        <v>1100</v>
      </c>
      <c r="D169" t="s">
        <v>276</v>
      </c>
      <c r="E169" s="43">
        <v>46301</v>
      </c>
      <c r="F169" s="43">
        <v>46305</v>
      </c>
      <c r="G169" s="43">
        <v>46305</v>
      </c>
      <c r="H169" t="s">
        <v>218</v>
      </c>
      <c r="I169" t="s">
        <v>290</v>
      </c>
      <c r="J169" t="s">
        <v>1101</v>
      </c>
      <c r="K169" s="43">
        <v>46301</v>
      </c>
      <c r="L169">
        <f t="shared" si="78"/>
        <v>195440</v>
      </c>
      <c r="M169" t="s">
        <v>279</v>
      </c>
      <c r="N169" t="s">
        <v>1102</v>
      </c>
      <c r="O169" s="43">
        <v>46302</v>
      </c>
      <c r="P169">
        <f t="shared" si="75"/>
        <v>195440</v>
      </c>
      <c r="Q169" t="s">
        <v>281</v>
      </c>
      <c r="R169" t="s">
        <v>1103</v>
      </c>
      <c r="S169" s="43">
        <v>46306</v>
      </c>
      <c r="T169">
        <f>X169</f>
        <v>195440</v>
      </c>
      <c r="U169">
        <v>0</v>
      </c>
      <c r="V169">
        <f t="shared" si="79"/>
        <v>195440</v>
      </c>
      <c r="W169" t="str">
        <f t="shared" si="80"/>
        <v>CUADRADO (3-WAY OK)</v>
      </c>
      <c r="X169">
        <f>SUMIFS(Detalle_OT!$I$2:$I$592,Detalle_OT!$B$2:$B$592,A169)</f>
        <v>195440</v>
      </c>
      <c r="Y169">
        <f>SUMIFS(Detalle_OT!$H$2:$H$592,Detalle_OT!$B$2:$B$592,A169,Detalle_OT!$C$2:$C$592,"Repuesto")</f>
        <v>58280</v>
      </c>
      <c r="Z169">
        <f>SUMIFS(Detalle_OT!$H$2:$H$592,Detalle_OT!$B$2:$B$592,A169,Detalle_OT!$C$2:$C$592,"Mano de Obra")</f>
        <v>67700</v>
      </c>
      <c r="AA169">
        <f t="shared" si="81"/>
        <v>69460</v>
      </c>
      <c r="AB169">
        <f t="shared" si="82"/>
        <v>0.35540319279574295</v>
      </c>
      <c r="AC169" t="str">
        <f t="shared" si="83"/>
        <v>Margen No Negativo Confirmado</v>
      </c>
      <c r="AD169" t="str">
        <f t="shared" si="84"/>
        <v>2026-10</v>
      </c>
      <c r="AE169" t="str">
        <f t="shared" si="85"/>
        <v>Semana 41</v>
      </c>
      <c r="AF169">
        <f t="shared" si="86"/>
        <v>4</v>
      </c>
      <c r="AG169">
        <f t="shared" si="87"/>
        <v>1</v>
      </c>
      <c r="AH169">
        <f>IF(AND(G169="",OR(I169="En Curso",I169="Reprogramada"),F169&lt;Dashboard!$B$5),1,0)</f>
        <v>0</v>
      </c>
      <c r="AI169">
        <f t="shared" si="88"/>
        <v>0</v>
      </c>
      <c r="AJ169">
        <f t="shared" si="89"/>
        <v>0</v>
      </c>
      <c r="AK169">
        <f>IF(SUMIFS(Detalle_OT!$J$2:$J$592,Detalle_OT!$B$2:$B$592,A169)&gt;0,1,0)</f>
        <v>0</v>
      </c>
      <c r="AL169">
        <f>IF(AND(OR(Dashboard!$D$5="Todos",AD169=Dashboard!$D$5),OR(Dashboard!$F$5="Todos",D169=Dashboard!$F$5),OR(Dashboard!$H$5="Todos",I169=Dashboard!$H$5)),1,0)</f>
        <v>1</v>
      </c>
      <c r="AM169">
        <f>IF(AND(OR(Control_Mandante!$C$4="Todos", AD169=Control_Mandante!$C$4), OR(Control_Mandante!$F$4="Todos", B169=Control_Mandante!$F$4), OR(Control_Mandante!$I$4="Todos", W169=Control_Mandante!$I$4), OR(Control_Mandante!$L$4="Todos", H169=Control_Mandante!$L$4)), 1, 0)</f>
        <v>1</v>
      </c>
      <c r="AN169" t="str">
        <f>IF(AH169=1, COUNTIF(AH$2:AH169, 1), "")</f>
        <v/>
      </c>
      <c r="AO169" t="str">
        <f>IF(AJ169=1, COUNTIF(AJ$2:AJ169, 1), "")</f>
        <v/>
      </c>
      <c r="AP169" t="str">
        <f>IF(AK169=1, COUNTIF(AK$2:AK169, 1), "")</f>
        <v/>
      </c>
    </row>
    <row r="170" spans="1:42" x14ac:dyDescent="0.25">
      <c r="A170" t="s">
        <v>1104</v>
      </c>
      <c r="B170" t="s">
        <v>190</v>
      </c>
      <c r="C170" t="s">
        <v>1105</v>
      </c>
      <c r="D170" t="s">
        <v>276</v>
      </c>
      <c r="E170" s="43">
        <v>46301</v>
      </c>
      <c r="F170" s="43">
        <v>46305</v>
      </c>
      <c r="H170" t="s">
        <v>220</v>
      </c>
      <c r="I170" t="s">
        <v>592</v>
      </c>
      <c r="J170" t="s">
        <v>1106</v>
      </c>
      <c r="K170" s="43">
        <v>46301</v>
      </c>
      <c r="L170">
        <f t="shared" si="78"/>
        <v>362670</v>
      </c>
      <c r="M170" t="s">
        <v>279</v>
      </c>
      <c r="N170" t="s">
        <v>1107</v>
      </c>
      <c r="O170" s="43">
        <v>46302</v>
      </c>
      <c r="P170">
        <f t="shared" si="75"/>
        <v>362670</v>
      </c>
      <c r="Q170" t="s">
        <v>281</v>
      </c>
      <c r="T170">
        <v>0</v>
      </c>
      <c r="U170">
        <v>0</v>
      </c>
      <c r="V170">
        <f t="shared" si="79"/>
        <v>0</v>
      </c>
      <c r="W170" t="str">
        <f t="shared" si="80"/>
        <v>OC Recibida - Pendiente Factura</v>
      </c>
      <c r="X170">
        <f>SUMIFS(Detalle_OT!$I$2:$I$592,Detalle_OT!$B$2:$B$592,A170)</f>
        <v>362670</v>
      </c>
      <c r="Y170">
        <f>SUMIFS(Detalle_OT!$H$2:$H$592,Detalle_OT!$B$2:$B$592,A170,Detalle_OT!$C$2:$C$592,"Repuesto")</f>
        <v>163590</v>
      </c>
      <c r="Z170">
        <f>SUMIFS(Detalle_OT!$H$2:$H$592,Detalle_OT!$B$2:$B$592,A170,Detalle_OT!$C$2:$C$592,"Mano de Obra")</f>
        <v>63200</v>
      </c>
      <c r="AA170" t="str">
        <f t="shared" si="81"/>
        <v/>
      </c>
      <c r="AB170" t="str">
        <f t="shared" si="82"/>
        <v/>
      </c>
      <c r="AC170" t="str">
        <f t="shared" si="83"/>
        <v>Pendiente de Validación</v>
      </c>
      <c r="AD170" t="str">
        <f t="shared" si="84"/>
        <v>2026-10</v>
      </c>
      <c r="AE170" t="str">
        <f t="shared" si="85"/>
        <v>Semana 41</v>
      </c>
      <c r="AF170" t="str">
        <f t="shared" si="86"/>
        <v/>
      </c>
      <c r="AG170" t="str">
        <f t="shared" si="87"/>
        <v/>
      </c>
      <c r="AH170">
        <f>IF(AND(G170="",OR(I170="En Curso",I170="Reprogramada"),F170&lt;Dashboard!$B$5),1,0)</f>
        <v>1</v>
      </c>
      <c r="AI170">
        <f t="shared" si="88"/>
        <v>0</v>
      </c>
      <c r="AJ170">
        <f t="shared" si="89"/>
        <v>0</v>
      </c>
      <c r="AK170">
        <f>IF(SUMIFS(Detalle_OT!$J$2:$J$592,Detalle_OT!$B$2:$B$592,A170)&gt;0,1,0)</f>
        <v>1</v>
      </c>
      <c r="AL170">
        <f>IF(AND(OR(Dashboard!$D$5="Todos",AD170=Dashboard!$D$5),OR(Dashboard!$F$5="Todos",D170=Dashboard!$F$5),OR(Dashboard!$H$5="Todos",I170=Dashboard!$H$5)),1,0)</f>
        <v>1</v>
      </c>
      <c r="AM170">
        <f>IF(AND(OR(Control_Mandante!$C$4="Todos", AD170=Control_Mandante!$C$4), OR(Control_Mandante!$F$4="Todos", B170=Control_Mandante!$F$4), OR(Control_Mandante!$I$4="Todos", W170=Control_Mandante!$I$4), OR(Control_Mandante!$L$4="Todos", H170=Control_Mandante!$L$4)), 1, 0)</f>
        <v>1</v>
      </c>
      <c r="AN170">
        <f>IF(AH170=1, COUNTIF(AH$2:AH170, 1), "")</f>
        <v>11</v>
      </c>
      <c r="AO170" t="str">
        <f>IF(AJ170=1, COUNTIF(AJ$2:AJ170, 1), "")</f>
        <v/>
      </c>
      <c r="AP170">
        <f>IF(AK170=1, COUNTIF(AK$2:AK170, 1), "")</f>
        <v>12</v>
      </c>
    </row>
    <row r="171" spans="1:42" x14ac:dyDescent="0.25">
      <c r="A171" t="s">
        <v>1108</v>
      </c>
      <c r="B171" t="s">
        <v>183</v>
      </c>
      <c r="C171" t="s">
        <v>1109</v>
      </c>
      <c r="D171" t="s">
        <v>301</v>
      </c>
      <c r="E171" s="43">
        <v>46301</v>
      </c>
      <c r="F171" s="43">
        <v>46304</v>
      </c>
      <c r="G171" s="43">
        <v>46307</v>
      </c>
      <c r="H171" t="s">
        <v>218</v>
      </c>
      <c r="I171" t="s">
        <v>277</v>
      </c>
      <c r="J171" t="s">
        <v>1110</v>
      </c>
      <c r="K171" s="43">
        <v>46301</v>
      </c>
      <c r="L171">
        <f t="shared" si="78"/>
        <v>461560</v>
      </c>
      <c r="M171" t="s">
        <v>279</v>
      </c>
      <c r="N171" t="s">
        <v>1111</v>
      </c>
      <c r="O171" s="43">
        <v>46302</v>
      </c>
      <c r="P171">
        <f t="shared" si="75"/>
        <v>461560</v>
      </c>
      <c r="Q171" t="s">
        <v>281</v>
      </c>
      <c r="R171" t="s">
        <v>1112</v>
      </c>
      <c r="S171" s="43">
        <v>46309</v>
      </c>
      <c r="T171">
        <f>X171</f>
        <v>461560</v>
      </c>
      <c r="U171">
        <f>T171</f>
        <v>461560</v>
      </c>
      <c r="V171">
        <f t="shared" si="79"/>
        <v>0</v>
      </c>
      <c r="W171" t="str">
        <f t="shared" si="80"/>
        <v>CUADRADO (3-WAY OK)</v>
      </c>
      <c r="X171">
        <f>SUMIFS(Detalle_OT!$I$2:$I$592,Detalle_OT!$B$2:$B$592,A171)</f>
        <v>461560</v>
      </c>
      <c r="Y171">
        <f>SUMIFS(Detalle_OT!$H$2:$H$592,Detalle_OT!$B$2:$B$592,A171,Detalle_OT!$C$2:$C$592,"Repuesto")</f>
        <v>137280</v>
      </c>
      <c r="Z171">
        <f>SUMIFS(Detalle_OT!$H$2:$H$592,Detalle_OT!$B$2:$B$592,A171,Detalle_OT!$C$2:$C$592,"Mano de Obra")</f>
        <v>133100</v>
      </c>
      <c r="AA171">
        <f t="shared" si="81"/>
        <v>191180</v>
      </c>
      <c r="AB171">
        <f t="shared" si="82"/>
        <v>0.41420400381315536</v>
      </c>
      <c r="AC171" t="str">
        <f t="shared" si="83"/>
        <v>Margen No Negativo Confirmado</v>
      </c>
      <c r="AD171" t="str">
        <f t="shared" si="84"/>
        <v>2026-10</v>
      </c>
      <c r="AE171" t="str">
        <f t="shared" si="85"/>
        <v>Semana 41</v>
      </c>
      <c r="AF171">
        <f t="shared" si="86"/>
        <v>6</v>
      </c>
      <c r="AG171">
        <f t="shared" si="87"/>
        <v>0</v>
      </c>
      <c r="AH171">
        <f>IF(AND(G171="",OR(I171="En Curso",I171="Reprogramada"),F171&lt;Dashboard!$B$5),1,0)</f>
        <v>0</v>
      </c>
      <c r="AI171">
        <f t="shared" si="88"/>
        <v>0</v>
      </c>
      <c r="AJ171">
        <f t="shared" si="89"/>
        <v>0</v>
      </c>
      <c r="AK171">
        <f>IF(SUMIFS(Detalle_OT!$J$2:$J$592,Detalle_OT!$B$2:$B$592,A171)&gt;0,1,0)</f>
        <v>0</v>
      </c>
      <c r="AL171">
        <f>IF(AND(OR(Dashboard!$D$5="Todos",AD171=Dashboard!$D$5),OR(Dashboard!$F$5="Todos",D171=Dashboard!$F$5),OR(Dashboard!$H$5="Todos",I171=Dashboard!$H$5)),1,0)</f>
        <v>1</v>
      </c>
      <c r="AM171">
        <f>IF(AND(OR(Control_Mandante!$C$4="Todos", AD171=Control_Mandante!$C$4), OR(Control_Mandante!$F$4="Todos", B171=Control_Mandante!$F$4), OR(Control_Mandante!$I$4="Todos", W171=Control_Mandante!$I$4), OR(Control_Mandante!$L$4="Todos", H171=Control_Mandante!$L$4)), 1, 0)</f>
        <v>1</v>
      </c>
      <c r="AN171" t="str">
        <f>IF(AH171=1, COUNTIF(AH$2:AH171, 1), "")</f>
        <v/>
      </c>
      <c r="AO171" t="str">
        <f>IF(AJ171=1, COUNTIF(AJ$2:AJ171, 1), "")</f>
        <v/>
      </c>
      <c r="AP171" t="str">
        <f>IF(AK171=1, COUNTIF(AK$2:AK171, 1), "")</f>
        <v/>
      </c>
    </row>
    <row r="172" spans="1:42" x14ac:dyDescent="0.25">
      <c r="A172" t="s">
        <v>1113</v>
      </c>
      <c r="B172" t="s">
        <v>203</v>
      </c>
      <c r="C172" t="s">
        <v>1114</v>
      </c>
      <c r="D172" t="s">
        <v>276</v>
      </c>
      <c r="E172" s="43">
        <v>46302</v>
      </c>
      <c r="F172" s="43">
        <v>46305</v>
      </c>
      <c r="G172" s="43">
        <v>46312</v>
      </c>
      <c r="H172" t="s">
        <v>215</v>
      </c>
      <c r="I172" t="s">
        <v>290</v>
      </c>
      <c r="J172" t="s">
        <v>1115</v>
      </c>
      <c r="K172" s="43">
        <v>46302</v>
      </c>
      <c r="L172">
        <f t="shared" si="78"/>
        <v>188640</v>
      </c>
      <c r="M172" t="s">
        <v>279</v>
      </c>
      <c r="P172">
        <v>0</v>
      </c>
      <c r="Q172" t="s">
        <v>458</v>
      </c>
      <c r="T172">
        <v>0</v>
      </c>
      <c r="U172">
        <v>0</v>
      </c>
      <c r="V172">
        <f t="shared" si="79"/>
        <v>0</v>
      </c>
      <c r="W172" t="str">
        <f t="shared" si="80"/>
        <v>Falta OC Mandante</v>
      </c>
      <c r="X172">
        <f>SUMIFS(Detalle_OT!$I$2:$I$592,Detalle_OT!$B$2:$B$592,A172)</f>
        <v>188640</v>
      </c>
      <c r="Y172">
        <f>SUMIFS(Detalle_OT!$H$2:$H$592,Detalle_OT!$B$2:$B$592,A172,Detalle_OT!$C$2:$C$592,"Repuesto")</f>
        <v>69960</v>
      </c>
      <c r="Z172">
        <f>SUMIFS(Detalle_OT!$H$2:$H$592,Detalle_OT!$B$2:$B$592,A172,Detalle_OT!$C$2:$C$592,"Mano de Obra")</f>
        <v>45200</v>
      </c>
      <c r="AA172">
        <f t="shared" si="81"/>
        <v>73480</v>
      </c>
      <c r="AB172">
        <f t="shared" si="82"/>
        <v>0.38952502120441052</v>
      </c>
      <c r="AC172" t="str">
        <f t="shared" si="83"/>
        <v>Margen No Negativo Confirmado</v>
      </c>
      <c r="AD172" t="str">
        <f t="shared" si="84"/>
        <v>2026-10</v>
      </c>
      <c r="AE172" t="str">
        <f t="shared" si="85"/>
        <v>Semana 41</v>
      </c>
      <c r="AF172">
        <f t="shared" si="86"/>
        <v>10</v>
      </c>
      <c r="AG172">
        <f t="shared" si="87"/>
        <v>0</v>
      </c>
      <c r="AH172">
        <f>IF(AND(G172="",OR(I172="En Curso",I172="Reprogramada"),F172&lt;Dashboard!$B$5),1,0)</f>
        <v>0</v>
      </c>
      <c r="AI172">
        <f t="shared" si="88"/>
        <v>1</v>
      </c>
      <c r="AJ172">
        <f t="shared" si="89"/>
        <v>1</v>
      </c>
      <c r="AK172">
        <f>IF(SUMIFS(Detalle_OT!$J$2:$J$592,Detalle_OT!$B$2:$B$592,A172)&gt;0,1,0)</f>
        <v>0</v>
      </c>
      <c r="AL172">
        <f>IF(AND(OR(Dashboard!$D$5="Todos",AD172=Dashboard!$D$5),OR(Dashboard!$F$5="Todos",D172=Dashboard!$F$5),OR(Dashboard!$H$5="Todos",I172=Dashboard!$H$5)),1,0)</f>
        <v>1</v>
      </c>
      <c r="AM172">
        <f>IF(AND(OR(Control_Mandante!$C$4="Todos", AD172=Control_Mandante!$C$4), OR(Control_Mandante!$F$4="Todos", B172=Control_Mandante!$F$4), OR(Control_Mandante!$I$4="Todos", W172=Control_Mandante!$I$4), OR(Control_Mandante!$L$4="Todos", H172=Control_Mandante!$L$4)), 1, 0)</f>
        <v>1</v>
      </c>
      <c r="AN172" t="str">
        <f>IF(AH172=1, COUNTIF(AH$2:AH172, 1), "")</f>
        <v/>
      </c>
      <c r="AO172">
        <f>IF(AJ172=1, COUNTIF(AJ$2:AJ172, 1), "")</f>
        <v>9</v>
      </c>
      <c r="AP172" t="str">
        <f>IF(AK172=1, COUNTIF(AK$2:AK172, 1), "")</f>
        <v/>
      </c>
    </row>
    <row r="173" spans="1:42" x14ac:dyDescent="0.25">
      <c r="A173" t="s">
        <v>1116</v>
      </c>
      <c r="B173" t="s">
        <v>155</v>
      </c>
      <c r="C173" t="s">
        <v>1117</v>
      </c>
      <c r="D173" t="s">
        <v>301</v>
      </c>
      <c r="E173" s="43">
        <v>46304</v>
      </c>
      <c r="F173" s="43">
        <v>46310</v>
      </c>
      <c r="G173" s="43">
        <v>46310</v>
      </c>
      <c r="H173" t="s">
        <v>215</v>
      </c>
      <c r="I173" t="s">
        <v>277</v>
      </c>
      <c r="J173" t="s">
        <v>1118</v>
      </c>
      <c r="K173" s="43">
        <v>46304</v>
      </c>
      <c r="L173">
        <f t="shared" si="78"/>
        <v>203420</v>
      </c>
      <c r="M173" t="s">
        <v>279</v>
      </c>
      <c r="N173" t="s">
        <v>1119</v>
      </c>
      <c r="O173" s="43">
        <v>46305</v>
      </c>
      <c r="P173">
        <f>X173</f>
        <v>203420</v>
      </c>
      <c r="Q173" t="s">
        <v>281</v>
      </c>
      <c r="R173" t="s">
        <v>1120</v>
      </c>
      <c r="S173" s="43">
        <v>46312</v>
      </c>
      <c r="T173">
        <f>X173</f>
        <v>203420</v>
      </c>
      <c r="U173">
        <f>T173</f>
        <v>203420</v>
      </c>
      <c r="V173">
        <f t="shared" si="79"/>
        <v>0</v>
      </c>
      <c r="W173" t="str">
        <f t="shared" si="80"/>
        <v>CUADRADO (3-WAY OK)</v>
      </c>
      <c r="X173">
        <f>SUMIFS(Detalle_OT!$I$2:$I$592,Detalle_OT!$B$2:$B$592,A173)</f>
        <v>203420</v>
      </c>
      <c r="Y173">
        <f>SUMIFS(Detalle_OT!$H$2:$H$592,Detalle_OT!$B$2:$B$592,A173,Detalle_OT!$C$2:$C$592,"Repuesto")</f>
        <v>90200</v>
      </c>
      <c r="Z173">
        <f>SUMIFS(Detalle_OT!$H$2:$H$592,Detalle_OT!$B$2:$B$592,A173,Detalle_OT!$C$2:$C$592,"Mano de Obra")</f>
        <v>54000</v>
      </c>
      <c r="AA173">
        <f t="shared" si="81"/>
        <v>59220</v>
      </c>
      <c r="AB173">
        <f t="shared" si="82"/>
        <v>0.29112181693048866</v>
      </c>
      <c r="AC173" t="str">
        <f t="shared" si="83"/>
        <v>Margen No Negativo Confirmado</v>
      </c>
      <c r="AD173" t="str">
        <f t="shared" si="84"/>
        <v>2026-10</v>
      </c>
      <c r="AE173" t="str">
        <f t="shared" si="85"/>
        <v>Semana 41</v>
      </c>
      <c r="AF173">
        <f t="shared" si="86"/>
        <v>6</v>
      </c>
      <c r="AG173">
        <f t="shared" si="87"/>
        <v>1</v>
      </c>
      <c r="AH173">
        <f>IF(AND(G173="",OR(I173="En Curso",I173="Reprogramada"),F173&lt;Dashboard!$B$5),1,0)</f>
        <v>0</v>
      </c>
      <c r="AI173">
        <f t="shared" si="88"/>
        <v>0</v>
      </c>
      <c r="AJ173">
        <f t="shared" si="89"/>
        <v>0</v>
      </c>
      <c r="AK173">
        <f>IF(SUMIFS(Detalle_OT!$J$2:$J$592,Detalle_OT!$B$2:$B$592,A173)&gt;0,1,0)</f>
        <v>0</v>
      </c>
      <c r="AL173">
        <f>IF(AND(OR(Dashboard!$D$5="Todos",AD173=Dashboard!$D$5),OR(Dashboard!$F$5="Todos",D173=Dashboard!$F$5),OR(Dashboard!$H$5="Todos",I173=Dashboard!$H$5)),1,0)</f>
        <v>1</v>
      </c>
      <c r="AM173">
        <f>IF(AND(OR(Control_Mandante!$C$4="Todos", AD173=Control_Mandante!$C$4), OR(Control_Mandante!$F$4="Todos", B173=Control_Mandante!$F$4), OR(Control_Mandante!$I$4="Todos", W173=Control_Mandante!$I$4), OR(Control_Mandante!$L$4="Todos", H173=Control_Mandante!$L$4)), 1, 0)</f>
        <v>1</v>
      </c>
      <c r="AN173" t="str">
        <f>IF(AH173=1, COUNTIF(AH$2:AH173, 1), "")</f>
        <v/>
      </c>
      <c r="AO173" t="str">
        <f>IF(AJ173=1, COUNTIF(AJ$2:AJ173, 1), "")</f>
        <v/>
      </c>
      <c r="AP173" t="str">
        <f>IF(AK173=1, COUNTIF(AK$2:AK173, 1), "")</f>
        <v/>
      </c>
    </row>
    <row r="174" spans="1:42" x14ac:dyDescent="0.25">
      <c r="A174" t="s">
        <v>1121</v>
      </c>
      <c r="B174" t="s">
        <v>168</v>
      </c>
      <c r="C174" t="s">
        <v>1122</v>
      </c>
      <c r="D174" t="s">
        <v>276</v>
      </c>
      <c r="E174" s="43">
        <v>46304</v>
      </c>
      <c r="F174" s="43">
        <v>46306</v>
      </c>
      <c r="G174" s="43">
        <v>46304</v>
      </c>
      <c r="H174" t="s">
        <v>218</v>
      </c>
      <c r="I174" t="s">
        <v>277</v>
      </c>
      <c r="J174" t="s">
        <v>1123</v>
      </c>
      <c r="K174" s="43">
        <v>46304</v>
      </c>
      <c r="L174">
        <f t="shared" si="78"/>
        <v>159520</v>
      </c>
      <c r="M174" t="s">
        <v>279</v>
      </c>
      <c r="N174" t="s">
        <v>1124</v>
      </c>
      <c r="O174" s="43">
        <v>46305</v>
      </c>
      <c r="P174">
        <f>X174</f>
        <v>159520</v>
      </c>
      <c r="Q174" t="s">
        <v>281</v>
      </c>
      <c r="R174" t="s">
        <v>1125</v>
      </c>
      <c r="S174" s="43">
        <v>46306</v>
      </c>
      <c r="T174">
        <f>X174</f>
        <v>159520</v>
      </c>
      <c r="U174">
        <f>T174</f>
        <v>159520</v>
      </c>
      <c r="V174">
        <f t="shared" si="79"/>
        <v>0</v>
      </c>
      <c r="W174" t="str">
        <f t="shared" si="80"/>
        <v>CUADRADO (3-WAY OK)</v>
      </c>
      <c r="X174">
        <f>SUMIFS(Detalle_OT!$I$2:$I$592,Detalle_OT!$B$2:$B$592,A174)</f>
        <v>159520</v>
      </c>
      <c r="Y174">
        <f>SUMIFS(Detalle_OT!$H$2:$H$592,Detalle_OT!$B$2:$B$592,A174,Detalle_OT!$C$2:$C$592,"Repuesto")</f>
        <v>57440</v>
      </c>
      <c r="Z174">
        <f>SUMIFS(Detalle_OT!$H$2:$H$592,Detalle_OT!$B$2:$B$592,A174,Detalle_OT!$C$2:$C$592,"Mano de Obra")</f>
        <v>49600</v>
      </c>
      <c r="AA174">
        <f t="shared" si="81"/>
        <v>52480</v>
      </c>
      <c r="AB174">
        <f t="shared" si="82"/>
        <v>0.32898696088264795</v>
      </c>
      <c r="AC174" t="str">
        <f t="shared" si="83"/>
        <v>Margen No Negativo Confirmado</v>
      </c>
      <c r="AD174" t="str">
        <f t="shared" si="84"/>
        <v>2026-10</v>
      </c>
      <c r="AE174" t="str">
        <f t="shared" si="85"/>
        <v>Semana 41</v>
      </c>
      <c r="AF174">
        <f t="shared" si="86"/>
        <v>0</v>
      </c>
      <c r="AG174">
        <f t="shared" si="87"/>
        <v>1</v>
      </c>
      <c r="AH174">
        <f>IF(AND(G174="",OR(I174="En Curso",I174="Reprogramada"),F174&lt;Dashboard!$B$5),1,0)</f>
        <v>0</v>
      </c>
      <c r="AI174">
        <f t="shared" si="88"/>
        <v>0</v>
      </c>
      <c r="AJ174">
        <f t="shared" si="89"/>
        <v>0</v>
      </c>
      <c r="AK174">
        <f>IF(SUMIFS(Detalle_OT!$J$2:$J$592,Detalle_OT!$B$2:$B$592,A174)&gt;0,1,0)</f>
        <v>0</v>
      </c>
      <c r="AL174">
        <f>IF(AND(OR(Dashboard!$D$5="Todos",AD174=Dashboard!$D$5),OR(Dashboard!$F$5="Todos",D174=Dashboard!$F$5),OR(Dashboard!$H$5="Todos",I174=Dashboard!$H$5)),1,0)</f>
        <v>1</v>
      </c>
      <c r="AM174">
        <f>IF(AND(OR(Control_Mandante!$C$4="Todos", AD174=Control_Mandante!$C$4), OR(Control_Mandante!$F$4="Todos", B174=Control_Mandante!$F$4), OR(Control_Mandante!$I$4="Todos", W174=Control_Mandante!$I$4), OR(Control_Mandante!$L$4="Todos", H174=Control_Mandante!$L$4)), 1, 0)</f>
        <v>1</v>
      </c>
      <c r="AN174" t="str">
        <f>IF(AH174=1, COUNTIF(AH$2:AH174, 1), "")</f>
        <v/>
      </c>
      <c r="AO174" t="str">
        <f>IF(AJ174=1, COUNTIF(AJ$2:AJ174, 1), "")</f>
        <v/>
      </c>
      <c r="AP174" t="str">
        <f>IF(AK174=1, COUNTIF(AK$2:AK174, 1), "")</f>
        <v/>
      </c>
    </row>
    <row r="175" spans="1:42" x14ac:dyDescent="0.25">
      <c r="A175" t="s">
        <v>1126</v>
      </c>
      <c r="B175" t="s">
        <v>196</v>
      </c>
      <c r="C175" t="s">
        <v>1127</v>
      </c>
      <c r="D175" t="s">
        <v>301</v>
      </c>
      <c r="E175" s="43">
        <v>46305</v>
      </c>
      <c r="F175" s="43">
        <v>46308</v>
      </c>
      <c r="G175" s="43">
        <v>46308</v>
      </c>
      <c r="H175" t="s">
        <v>215</v>
      </c>
      <c r="I175" t="s">
        <v>290</v>
      </c>
      <c r="J175" t="s">
        <v>1128</v>
      </c>
      <c r="K175" s="43">
        <v>46305</v>
      </c>
      <c r="L175">
        <f t="shared" si="78"/>
        <v>433940</v>
      </c>
      <c r="M175" t="s">
        <v>279</v>
      </c>
      <c r="N175" t="s">
        <v>1129</v>
      </c>
      <c r="O175" s="43">
        <v>46306</v>
      </c>
      <c r="P175">
        <f>X175</f>
        <v>433940</v>
      </c>
      <c r="Q175" t="s">
        <v>281</v>
      </c>
      <c r="R175" t="s">
        <v>1130</v>
      </c>
      <c r="S175" s="43">
        <v>46309</v>
      </c>
      <c r="T175">
        <f>X175</f>
        <v>433940</v>
      </c>
      <c r="U175">
        <v>0</v>
      </c>
      <c r="V175">
        <f t="shared" si="79"/>
        <v>433940</v>
      </c>
      <c r="W175" t="str">
        <f t="shared" si="80"/>
        <v>CUADRADO (3-WAY OK)</v>
      </c>
      <c r="X175">
        <f>SUMIFS(Detalle_OT!$I$2:$I$592,Detalle_OT!$B$2:$B$592,A175)</f>
        <v>433940</v>
      </c>
      <c r="Y175">
        <f>SUMIFS(Detalle_OT!$H$2:$H$592,Detalle_OT!$B$2:$B$592,A175,Detalle_OT!$C$2:$C$592,"Repuesto")</f>
        <v>89220</v>
      </c>
      <c r="Z175">
        <f>SUMIFS(Detalle_OT!$H$2:$H$592,Detalle_OT!$B$2:$B$592,A175,Detalle_OT!$C$2:$C$592,"Mano de Obra")</f>
        <v>166400</v>
      </c>
      <c r="AA175">
        <f t="shared" si="81"/>
        <v>178320</v>
      </c>
      <c r="AB175">
        <f t="shared" si="82"/>
        <v>0.41093238696593998</v>
      </c>
      <c r="AC175" t="str">
        <f t="shared" si="83"/>
        <v>Margen No Negativo Confirmado</v>
      </c>
      <c r="AD175" t="str">
        <f t="shared" si="84"/>
        <v>2026-10</v>
      </c>
      <c r="AE175" t="str">
        <f t="shared" si="85"/>
        <v>Semana 41</v>
      </c>
      <c r="AF175">
        <f t="shared" si="86"/>
        <v>3</v>
      </c>
      <c r="AG175">
        <f t="shared" si="87"/>
        <v>1</v>
      </c>
      <c r="AH175">
        <f>IF(AND(G175="",OR(I175="En Curso",I175="Reprogramada"),F175&lt;Dashboard!$B$5),1,0)</f>
        <v>0</v>
      </c>
      <c r="AI175">
        <f t="shared" si="88"/>
        <v>0</v>
      </c>
      <c r="AJ175">
        <f t="shared" si="89"/>
        <v>0</v>
      </c>
      <c r="AK175">
        <f>IF(SUMIFS(Detalle_OT!$J$2:$J$592,Detalle_OT!$B$2:$B$592,A175)&gt;0,1,0)</f>
        <v>0</v>
      </c>
      <c r="AL175">
        <f>IF(AND(OR(Dashboard!$D$5="Todos",AD175=Dashboard!$D$5),OR(Dashboard!$F$5="Todos",D175=Dashboard!$F$5),OR(Dashboard!$H$5="Todos",I175=Dashboard!$H$5)),1,0)</f>
        <v>1</v>
      </c>
      <c r="AM175">
        <f>IF(AND(OR(Control_Mandante!$C$4="Todos", AD175=Control_Mandante!$C$4), OR(Control_Mandante!$F$4="Todos", B175=Control_Mandante!$F$4), OR(Control_Mandante!$I$4="Todos", W175=Control_Mandante!$I$4), OR(Control_Mandante!$L$4="Todos", H175=Control_Mandante!$L$4)), 1, 0)</f>
        <v>1</v>
      </c>
      <c r="AN175" t="str">
        <f>IF(AH175=1, COUNTIF(AH$2:AH175, 1), "")</f>
        <v/>
      </c>
      <c r="AO175" t="str">
        <f>IF(AJ175=1, COUNTIF(AJ$2:AJ175, 1), "")</f>
        <v/>
      </c>
      <c r="AP175" t="str">
        <f>IF(AK175=1, COUNTIF(AK$2:AK175, 1), "")</f>
        <v/>
      </c>
    </row>
    <row r="176" spans="1:42" x14ac:dyDescent="0.25">
      <c r="A176" t="s">
        <v>1131</v>
      </c>
      <c r="B176" t="s">
        <v>203</v>
      </c>
      <c r="C176" t="s">
        <v>1132</v>
      </c>
      <c r="D176" t="s">
        <v>301</v>
      </c>
      <c r="E176" s="43">
        <v>46305</v>
      </c>
      <c r="F176" s="43">
        <v>46312</v>
      </c>
      <c r="G176" s="43">
        <v>46311</v>
      </c>
      <c r="H176" t="s">
        <v>229</v>
      </c>
      <c r="I176" t="s">
        <v>290</v>
      </c>
      <c r="J176" t="s">
        <v>1133</v>
      </c>
      <c r="K176" s="43">
        <v>46305</v>
      </c>
      <c r="L176">
        <f t="shared" si="78"/>
        <v>789780</v>
      </c>
      <c r="M176" t="s">
        <v>279</v>
      </c>
      <c r="N176" t="s">
        <v>1134</v>
      </c>
      <c r="O176" s="43">
        <v>46306</v>
      </c>
      <c r="P176">
        <f>X176</f>
        <v>789780</v>
      </c>
      <c r="Q176" t="s">
        <v>281</v>
      </c>
      <c r="T176">
        <v>0</v>
      </c>
      <c r="U176">
        <v>0</v>
      </c>
      <c r="V176">
        <f t="shared" si="79"/>
        <v>0</v>
      </c>
      <c r="W176" t="str">
        <f t="shared" si="80"/>
        <v>OC Recibida - Pendiente Factura</v>
      </c>
      <c r="X176">
        <f>SUMIFS(Detalle_OT!$I$2:$I$592,Detalle_OT!$B$2:$B$592,A176)</f>
        <v>789780</v>
      </c>
      <c r="Y176">
        <f>SUMIFS(Detalle_OT!$H$2:$H$592,Detalle_OT!$B$2:$B$592,A176,Detalle_OT!$C$2:$C$592,"Repuesto")</f>
        <v>301330</v>
      </c>
      <c r="Z176">
        <f>SUMIFS(Detalle_OT!$H$2:$H$592,Detalle_OT!$B$2:$B$592,A176,Detalle_OT!$C$2:$C$592,"Mano de Obra")</f>
        <v>230800</v>
      </c>
      <c r="AA176">
        <f t="shared" si="81"/>
        <v>257650</v>
      </c>
      <c r="AB176">
        <f t="shared" si="82"/>
        <v>0.32623008939198256</v>
      </c>
      <c r="AC176" t="str">
        <f t="shared" si="83"/>
        <v>Margen No Negativo Confirmado</v>
      </c>
      <c r="AD176" t="str">
        <f t="shared" si="84"/>
        <v>2026-10</v>
      </c>
      <c r="AE176" t="str">
        <f t="shared" si="85"/>
        <v>Semana 41</v>
      </c>
      <c r="AF176">
        <f t="shared" si="86"/>
        <v>6</v>
      </c>
      <c r="AG176">
        <f t="shared" si="87"/>
        <v>1</v>
      </c>
      <c r="AH176">
        <f>IF(AND(G176="",OR(I176="En Curso",I176="Reprogramada"),F176&lt;Dashboard!$B$5),1,0)</f>
        <v>0</v>
      </c>
      <c r="AI176">
        <f t="shared" si="88"/>
        <v>0</v>
      </c>
      <c r="AJ176">
        <f t="shared" si="89"/>
        <v>1</v>
      </c>
      <c r="AK176">
        <f>IF(SUMIFS(Detalle_OT!$J$2:$J$592,Detalle_OT!$B$2:$B$592,A176)&gt;0,1,0)</f>
        <v>0</v>
      </c>
      <c r="AL176">
        <f>IF(AND(OR(Dashboard!$D$5="Todos",AD176=Dashboard!$D$5),OR(Dashboard!$F$5="Todos",D176=Dashboard!$F$5),OR(Dashboard!$H$5="Todos",I176=Dashboard!$H$5)),1,0)</f>
        <v>1</v>
      </c>
      <c r="AM176">
        <f>IF(AND(OR(Control_Mandante!$C$4="Todos", AD176=Control_Mandante!$C$4), OR(Control_Mandante!$F$4="Todos", B176=Control_Mandante!$F$4), OR(Control_Mandante!$I$4="Todos", W176=Control_Mandante!$I$4), OR(Control_Mandante!$L$4="Todos", H176=Control_Mandante!$L$4)), 1, 0)</f>
        <v>1</v>
      </c>
      <c r="AN176" t="str">
        <f>IF(AH176=1, COUNTIF(AH$2:AH176, 1), "")</f>
        <v/>
      </c>
      <c r="AO176">
        <f>IF(AJ176=1, COUNTIF(AJ$2:AJ176, 1), "")</f>
        <v>10</v>
      </c>
      <c r="AP176" t="str">
        <f>IF(AK176=1, COUNTIF(AK$2:AK176, 1), "")</f>
        <v/>
      </c>
    </row>
    <row r="177" spans="1:42" x14ac:dyDescent="0.25">
      <c r="A177" t="s">
        <v>1135</v>
      </c>
      <c r="B177" t="s">
        <v>171</v>
      </c>
      <c r="C177" t="s">
        <v>1136</v>
      </c>
      <c r="D177" t="s">
        <v>301</v>
      </c>
      <c r="E177" s="43">
        <v>46306</v>
      </c>
      <c r="F177" s="43">
        <v>46314</v>
      </c>
      <c r="H177" t="s">
        <v>220</v>
      </c>
      <c r="I177" t="s">
        <v>352</v>
      </c>
      <c r="J177" t="s">
        <v>1137</v>
      </c>
      <c r="K177" s="43">
        <v>46306</v>
      </c>
      <c r="L177">
        <f t="shared" si="78"/>
        <v>234820</v>
      </c>
      <c r="M177" t="s">
        <v>1138</v>
      </c>
      <c r="P177">
        <v>0</v>
      </c>
      <c r="Q177" t="s">
        <v>928</v>
      </c>
      <c r="T177">
        <v>0</v>
      </c>
      <c r="U177">
        <v>0</v>
      </c>
      <c r="V177">
        <f t="shared" si="79"/>
        <v>0</v>
      </c>
      <c r="W177" t="str">
        <f t="shared" si="80"/>
        <v>Presupuesto No Aprobado</v>
      </c>
      <c r="X177">
        <f>SUMIFS(Detalle_OT!$I$2:$I$592,Detalle_OT!$B$2:$B$592,A177)</f>
        <v>234820</v>
      </c>
      <c r="Y177">
        <f>SUMIFS(Detalle_OT!$H$2:$H$592,Detalle_OT!$B$2:$B$592,A177,Detalle_OT!$C$2:$C$592,"Repuesto")</f>
        <v>74800</v>
      </c>
      <c r="Z177">
        <f>SUMIFS(Detalle_OT!$H$2:$H$592,Detalle_OT!$B$2:$B$592,A177,Detalle_OT!$C$2:$C$592,"Mano de Obra")</f>
        <v>72000</v>
      </c>
      <c r="AA177">
        <f t="shared" si="81"/>
        <v>88020</v>
      </c>
      <c r="AB177">
        <f t="shared" si="82"/>
        <v>0.37484030321097012</v>
      </c>
      <c r="AC177" t="str">
        <f t="shared" si="83"/>
        <v>Margen No Negativo Confirmado</v>
      </c>
      <c r="AD177" t="str">
        <f t="shared" si="84"/>
        <v>2026-10</v>
      </c>
      <c r="AE177" t="str">
        <f t="shared" si="85"/>
        <v>Semana 42</v>
      </c>
      <c r="AF177" t="str">
        <f t="shared" si="86"/>
        <v/>
      </c>
      <c r="AG177" t="str">
        <f t="shared" si="87"/>
        <v/>
      </c>
      <c r="AH177">
        <f>IF(AND(G177="",OR(I177="En Curso",I177="Reprogramada"),F177&lt;Dashboard!$B$5),1,0)</f>
        <v>1</v>
      </c>
      <c r="AI177">
        <f t="shared" si="88"/>
        <v>0</v>
      </c>
      <c r="AJ177">
        <f t="shared" si="89"/>
        <v>0</v>
      </c>
      <c r="AK177">
        <f>IF(SUMIFS(Detalle_OT!$J$2:$J$592,Detalle_OT!$B$2:$B$592,A177)&gt;0,1,0)</f>
        <v>0</v>
      </c>
      <c r="AL177">
        <f>IF(AND(OR(Dashboard!$D$5="Todos",AD177=Dashboard!$D$5),OR(Dashboard!$F$5="Todos",D177=Dashboard!$F$5),OR(Dashboard!$H$5="Todos",I177=Dashboard!$H$5)),1,0)</f>
        <v>1</v>
      </c>
      <c r="AM177">
        <f>IF(AND(OR(Control_Mandante!$C$4="Todos", AD177=Control_Mandante!$C$4), OR(Control_Mandante!$F$4="Todos", B177=Control_Mandante!$F$4), OR(Control_Mandante!$I$4="Todos", W177=Control_Mandante!$I$4), OR(Control_Mandante!$L$4="Todos", H177=Control_Mandante!$L$4)), 1, 0)</f>
        <v>1</v>
      </c>
      <c r="AN177">
        <f>IF(AH177=1, COUNTIF(AH$2:AH177, 1), "")</f>
        <v>12</v>
      </c>
      <c r="AO177" t="str">
        <f>IF(AJ177=1, COUNTIF(AJ$2:AJ177, 1), "")</f>
        <v/>
      </c>
      <c r="AP177" t="str">
        <f>IF(AK177=1, COUNTIF(AK$2:AK177, 1), "")</f>
        <v/>
      </c>
    </row>
    <row r="178" spans="1:42" x14ac:dyDescent="0.25">
      <c r="A178" t="s">
        <v>1139</v>
      </c>
      <c r="B178" t="s">
        <v>165</v>
      </c>
      <c r="C178" t="s">
        <v>1140</v>
      </c>
      <c r="D178" t="s">
        <v>295</v>
      </c>
      <c r="E178" s="43">
        <v>46307</v>
      </c>
      <c r="F178" s="43">
        <v>46317</v>
      </c>
      <c r="H178" t="s">
        <v>222</v>
      </c>
      <c r="I178" t="s">
        <v>592</v>
      </c>
      <c r="J178" t="s">
        <v>1141</v>
      </c>
      <c r="K178" s="43">
        <v>46307</v>
      </c>
      <c r="L178">
        <f t="shared" si="78"/>
        <v>2059380</v>
      </c>
      <c r="M178" t="s">
        <v>279</v>
      </c>
      <c r="N178" t="s">
        <v>1142</v>
      </c>
      <c r="O178" s="43">
        <v>46308</v>
      </c>
      <c r="P178">
        <f>X178</f>
        <v>2059380</v>
      </c>
      <c r="Q178" t="s">
        <v>281</v>
      </c>
      <c r="T178">
        <v>0</v>
      </c>
      <c r="U178">
        <v>0</v>
      </c>
      <c r="V178">
        <f t="shared" si="79"/>
        <v>0</v>
      </c>
      <c r="W178" t="str">
        <f t="shared" si="80"/>
        <v>OC Recibida - Pendiente Factura</v>
      </c>
      <c r="X178">
        <f>SUMIFS(Detalle_OT!$I$2:$I$592,Detalle_OT!$B$2:$B$592,A178)</f>
        <v>2059380</v>
      </c>
      <c r="Y178">
        <f>SUMIFS(Detalle_OT!$H$2:$H$592,Detalle_OT!$B$2:$B$592,A178,Detalle_OT!$C$2:$C$592,"Repuesto")</f>
        <v>1123040</v>
      </c>
      <c r="Z178">
        <f>SUMIFS(Detalle_OT!$H$2:$H$592,Detalle_OT!$B$2:$B$592,A178,Detalle_OT!$C$2:$C$592,"Mano de Obra")</f>
        <v>228800</v>
      </c>
      <c r="AA178">
        <f t="shared" si="81"/>
        <v>707540</v>
      </c>
      <c r="AB178">
        <f t="shared" si="82"/>
        <v>0.34356942380716526</v>
      </c>
      <c r="AC178" t="str">
        <f t="shared" si="83"/>
        <v>Margen No Negativo Confirmado</v>
      </c>
      <c r="AD178" t="str">
        <f t="shared" si="84"/>
        <v>2026-10</v>
      </c>
      <c r="AE178" t="str">
        <f t="shared" si="85"/>
        <v>Semana 42</v>
      </c>
      <c r="AF178" t="str">
        <f t="shared" si="86"/>
        <v/>
      </c>
      <c r="AG178" t="str">
        <f t="shared" si="87"/>
        <v/>
      </c>
      <c r="AH178">
        <f>IF(AND(G178="",OR(I178="En Curso",I178="Reprogramada"),F178&lt;Dashboard!$B$5),1,0)</f>
        <v>0</v>
      </c>
      <c r="AI178">
        <f t="shared" si="88"/>
        <v>0</v>
      </c>
      <c r="AJ178">
        <f t="shared" si="89"/>
        <v>0</v>
      </c>
      <c r="AK178">
        <f>IF(SUMIFS(Detalle_OT!$J$2:$J$592,Detalle_OT!$B$2:$B$592,A178)&gt;0,1,0)</f>
        <v>0</v>
      </c>
      <c r="AL178">
        <f>IF(AND(OR(Dashboard!$D$5="Todos",AD178=Dashboard!$D$5),OR(Dashboard!$F$5="Todos",D178=Dashboard!$F$5),OR(Dashboard!$H$5="Todos",I178=Dashboard!$H$5)),1,0)</f>
        <v>1</v>
      </c>
      <c r="AM178">
        <f>IF(AND(OR(Control_Mandante!$C$4="Todos", AD178=Control_Mandante!$C$4), OR(Control_Mandante!$F$4="Todos", B178=Control_Mandante!$F$4), OR(Control_Mandante!$I$4="Todos", W178=Control_Mandante!$I$4), OR(Control_Mandante!$L$4="Todos", H178=Control_Mandante!$L$4)), 1, 0)</f>
        <v>1</v>
      </c>
      <c r="AN178" t="str">
        <f>IF(AH178=1, COUNTIF(AH$2:AH178, 1), "")</f>
        <v/>
      </c>
      <c r="AO178" t="str">
        <f>IF(AJ178=1, COUNTIF(AJ$2:AJ178, 1), "")</f>
        <v/>
      </c>
      <c r="AP178" t="str">
        <f>IF(AK178=1, COUNTIF(AK$2:AK178, 1), "")</f>
        <v/>
      </c>
    </row>
    <row r="179" spans="1:42" x14ac:dyDescent="0.25">
      <c r="A179" t="s">
        <v>1143</v>
      </c>
      <c r="B179" t="s">
        <v>187</v>
      </c>
      <c r="C179" t="s">
        <v>1144</v>
      </c>
      <c r="D179" t="s">
        <v>295</v>
      </c>
      <c r="E179" s="43">
        <v>46308</v>
      </c>
      <c r="F179" s="43">
        <v>46319</v>
      </c>
      <c r="H179" t="s">
        <v>225</v>
      </c>
      <c r="I179" t="s">
        <v>592</v>
      </c>
      <c r="J179" t="s">
        <v>1145</v>
      </c>
      <c r="K179" s="43">
        <v>46308</v>
      </c>
      <c r="L179">
        <f t="shared" si="78"/>
        <v>864320</v>
      </c>
      <c r="M179" t="s">
        <v>279</v>
      </c>
      <c r="N179" t="s">
        <v>1146</v>
      </c>
      <c r="O179" s="43">
        <v>46309</v>
      </c>
      <c r="P179">
        <f>X179</f>
        <v>864320</v>
      </c>
      <c r="Q179" t="s">
        <v>281</v>
      </c>
      <c r="T179">
        <v>0</v>
      </c>
      <c r="U179">
        <v>0</v>
      </c>
      <c r="V179">
        <f t="shared" si="79"/>
        <v>0</v>
      </c>
      <c r="W179" t="str">
        <f t="shared" si="80"/>
        <v>OC Recibida - Pendiente Factura</v>
      </c>
      <c r="X179">
        <f>SUMIFS(Detalle_OT!$I$2:$I$592,Detalle_OT!$B$2:$B$592,A179)</f>
        <v>864320</v>
      </c>
      <c r="Y179">
        <f>SUMIFS(Detalle_OT!$H$2:$H$592,Detalle_OT!$B$2:$B$592,A179,Detalle_OT!$C$2:$C$592,"Repuesto")</f>
        <v>413660</v>
      </c>
      <c r="Z179">
        <f>SUMIFS(Detalle_OT!$H$2:$H$592,Detalle_OT!$B$2:$B$592,A179,Detalle_OT!$C$2:$C$592,"Mano de Obra")</f>
        <v>196800</v>
      </c>
      <c r="AA179">
        <f t="shared" si="81"/>
        <v>253860</v>
      </c>
      <c r="AB179">
        <f t="shared" si="82"/>
        <v>0.29371066271751201</v>
      </c>
      <c r="AC179" t="str">
        <f t="shared" si="83"/>
        <v>Margen No Negativo Confirmado</v>
      </c>
      <c r="AD179" t="str">
        <f t="shared" si="84"/>
        <v>2026-10</v>
      </c>
      <c r="AE179" t="str">
        <f t="shared" si="85"/>
        <v>Semana 42</v>
      </c>
      <c r="AF179" t="str">
        <f t="shared" si="86"/>
        <v/>
      </c>
      <c r="AG179" t="str">
        <f t="shared" si="87"/>
        <v/>
      </c>
      <c r="AH179">
        <f>IF(AND(G179="",OR(I179="En Curso",I179="Reprogramada"),F179&lt;Dashboard!$B$5),1,0)</f>
        <v>0</v>
      </c>
      <c r="AI179">
        <f t="shared" si="88"/>
        <v>0</v>
      </c>
      <c r="AJ179">
        <f t="shared" si="89"/>
        <v>0</v>
      </c>
      <c r="AK179">
        <f>IF(SUMIFS(Detalle_OT!$J$2:$J$592,Detalle_OT!$B$2:$B$592,A179)&gt;0,1,0)</f>
        <v>0</v>
      </c>
      <c r="AL179">
        <f>IF(AND(OR(Dashboard!$D$5="Todos",AD179=Dashboard!$D$5),OR(Dashboard!$F$5="Todos",D179=Dashboard!$F$5),OR(Dashboard!$H$5="Todos",I179=Dashboard!$H$5)),1,0)</f>
        <v>1</v>
      </c>
      <c r="AM179">
        <f>IF(AND(OR(Control_Mandante!$C$4="Todos", AD179=Control_Mandante!$C$4), OR(Control_Mandante!$F$4="Todos", B179=Control_Mandante!$F$4), OR(Control_Mandante!$I$4="Todos", W179=Control_Mandante!$I$4), OR(Control_Mandante!$L$4="Todos", H179=Control_Mandante!$L$4)), 1, 0)</f>
        <v>1</v>
      </c>
      <c r="AN179" t="str">
        <f>IF(AH179=1, COUNTIF(AH$2:AH179, 1), "")</f>
        <v/>
      </c>
      <c r="AO179" t="str">
        <f>IF(AJ179=1, COUNTIF(AJ$2:AJ179, 1), "")</f>
        <v/>
      </c>
      <c r="AP179" t="str">
        <f>IF(AK179=1, COUNTIF(AK$2:AK179, 1), "")</f>
        <v/>
      </c>
    </row>
    <row r="180" spans="1:42" x14ac:dyDescent="0.25">
      <c r="A180" t="s">
        <v>1147</v>
      </c>
      <c r="B180" t="s">
        <v>200</v>
      </c>
      <c r="C180" t="s">
        <v>1148</v>
      </c>
      <c r="D180" t="s">
        <v>301</v>
      </c>
      <c r="E180" s="43">
        <v>46310</v>
      </c>
      <c r="F180" s="43">
        <v>46314</v>
      </c>
      <c r="H180" t="s">
        <v>218</v>
      </c>
      <c r="I180" t="s">
        <v>352</v>
      </c>
      <c r="J180" t="s">
        <v>1149</v>
      </c>
      <c r="K180" s="43">
        <v>46310</v>
      </c>
      <c r="L180">
        <f t="shared" si="78"/>
        <v>727150</v>
      </c>
      <c r="M180" t="s">
        <v>279</v>
      </c>
      <c r="N180" t="s">
        <v>1150</v>
      </c>
      <c r="O180" s="43">
        <v>46311</v>
      </c>
      <c r="P180">
        <f>X180</f>
        <v>727150</v>
      </c>
      <c r="Q180" t="s">
        <v>281</v>
      </c>
      <c r="T180">
        <v>0</v>
      </c>
      <c r="U180">
        <v>0</v>
      </c>
      <c r="V180">
        <f t="shared" si="79"/>
        <v>0</v>
      </c>
      <c r="W180" t="str">
        <f t="shared" si="80"/>
        <v>OC Recibida - Pendiente Factura</v>
      </c>
      <c r="X180">
        <f>SUMIFS(Detalle_OT!$I$2:$I$592,Detalle_OT!$B$2:$B$592,A180)</f>
        <v>727150</v>
      </c>
      <c r="Y180">
        <f>SUMIFS(Detalle_OT!$H$2:$H$592,Detalle_OT!$B$2:$B$592,A180,Detalle_OT!$C$2:$C$592,"Repuesto")</f>
        <v>184680</v>
      </c>
      <c r="Z180">
        <f>SUMIFS(Detalle_OT!$H$2:$H$592,Detalle_OT!$B$2:$B$592,A180,Detalle_OT!$C$2:$C$592,"Mano de Obra")</f>
        <v>256000</v>
      </c>
      <c r="AA180">
        <f t="shared" si="81"/>
        <v>286470</v>
      </c>
      <c r="AB180">
        <f t="shared" si="82"/>
        <v>0.39396273121089181</v>
      </c>
      <c r="AC180" t="str">
        <f t="shared" si="83"/>
        <v>Margen No Negativo Confirmado</v>
      </c>
      <c r="AD180" t="str">
        <f t="shared" si="84"/>
        <v>2026-10</v>
      </c>
      <c r="AE180" t="str">
        <f t="shared" si="85"/>
        <v>Semana 42</v>
      </c>
      <c r="AF180" t="str">
        <f t="shared" si="86"/>
        <v/>
      </c>
      <c r="AG180" t="str">
        <f t="shared" si="87"/>
        <v/>
      </c>
      <c r="AH180">
        <f>IF(AND(G180="",OR(I180="En Curso",I180="Reprogramada"),F180&lt;Dashboard!$B$5),1,0)</f>
        <v>1</v>
      </c>
      <c r="AI180">
        <f t="shared" si="88"/>
        <v>0</v>
      </c>
      <c r="AJ180">
        <f t="shared" si="89"/>
        <v>0</v>
      </c>
      <c r="AK180">
        <f>IF(SUMIFS(Detalle_OT!$J$2:$J$592,Detalle_OT!$B$2:$B$592,A180)&gt;0,1,0)</f>
        <v>0</v>
      </c>
      <c r="AL180">
        <f>IF(AND(OR(Dashboard!$D$5="Todos",AD180=Dashboard!$D$5),OR(Dashboard!$F$5="Todos",D180=Dashboard!$F$5),OR(Dashboard!$H$5="Todos",I180=Dashboard!$H$5)),1,0)</f>
        <v>1</v>
      </c>
      <c r="AM180">
        <f>IF(AND(OR(Control_Mandante!$C$4="Todos", AD180=Control_Mandante!$C$4), OR(Control_Mandante!$F$4="Todos", B180=Control_Mandante!$F$4), OR(Control_Mandante!$I$4="Todos", W180=Control_Mandante!$I$4), OR(Control_Mandante!$L$4="Todos", H180=Control_Mandante!$L$4)), 1, 0)</f>
        <v>1</v>
      </c>
      <c r="AN180">
        <f>IF(AH180=1, COUNTIF(AH$2:AH180, 1), "")</f>
        <v>13</v>
      </c>
      <c r="AO180" t="str">
        <f>IF(AJ180=1, COUNTIF(AJ$2:AJ180, 1), "")</f>
        <v/>
      </c>
      <c r="AP180" t="str">
        <f>IF(AK180=1, COUNTIF(AK$2:AK180, 1), "")</f>
        <v/>
      </c>
    </row>
    <row r="181" spans="1:42" x14ac:dyDescent="0.25">
      <c r="A181" t="s">
        <v>1151</v>
      </c>
      <c r="B181" t="s">
        <v>190</v>
      </c>
      <c r="C181" t="s">
        <v>1152</v>
      </c>
      <c r="D181" t="s">
        <v>301</v>
      </c>
      <c r="E181" s="43">
        <v>46311</v>
      </c>
      <c r="F181" s="43">
        <v>46318</v>
      </c>
      <c r="H181" t="s">
        <v>220</v>
      </c>
      <c r="I181" t="s">
        <v>592</v>
      </c>
      <c r="J181" t="s">
        <v>1153</v>
      </c>
      <c r="K181" s="43">
        <v>46311</v>
      </c>
      <c r="L181">
        <f t="shared" si="78"/>
        <v>1053870</v>
      </c>
      <c r="M181" t="s">
        <v>927</v>
      </c>
      <c r="P181">
        <v>0</v>
      </c>
      <c r="Q181" t="s">
        <v>928</v>
      </c>
      <c r="T181">
        <v>0</v>
      </c>
      <c r="U181">
        <v>0</v>
      </c>
      <c r="V181">
        <f t="shared" si="79"/>
        <v>0</v>
      </c>
      <c r="W181" t="str">
        <f t="shared" si="80"/>
        <v>Presupuesto No Aprobado</v>
      </c>
      <c r="X181">
        <f>SUMIFS(Detalle_OT!$I$2:$I$592,Detalle_OT!$B$2:$B$592,A181)</f>
        <v>1053870</v>
      </c>
      <c r="Y181">
        <f>SUMIFS(Detalle_OT!$H$2:$H$592,Detalle_OT!$B$2:$B$592,A181,Detalle_OT!$C$2:$C$592,"Repuesto")</f>
        <v>485810</v>
      </c>
      <c r="Z181">
        <f>SUMIFS(Detalle_OT!$H$2:$H$592,Detalle_OT!$B$2:$B$592,A181,Detalle_OT!$C$2:$C$592,"Mano de Obra")</f>
        <v>227100</v>
      </c>
      <c r="AA181">
        <f t="shared" si="81"/>
        <v>340960</v>
      </c>
      <c r="AB181">
        <f t="shared" si="82"/>
        <v>0.32353136534866728</v>
      </c>
      <c r="AC181" t="str">
        <f t="shared" si="83"/>
        <v>Margen No Negativo Confirmado</v>
      </c>
      <c r="AD181" t="str">
        <f t="shared" si="84"/>
        <v>2026-10</v>
      </c>
      <c r="AE181" t="str">
        <f t="shared" si="85"/>
        <v>Semana 42</v>
      </c>
      <c r="AF181" t="str">
        <f t="shared" si="86"/>
        <v/>
      </c>
      <c r="AG181" t="str">
        <f t="shared" si="87"/>
        <v/>
      </c>
      <c r="AH181">
        <f>IF(AND(G181="",OR(I181="En Curso",I181="Reprogramada"),F181&lt;Dashboard!$B$5),1,0)</f>
        <v>0</v>
      </c>
      <c r="AI181">
        <f t="shared" si="88"/>
        <v>0</v>
      </c>
      <c r="AJ181">
        <f t="shared" si="89"/>
        <v>0</v>
      </c>
      <c r="AK181">
        <f>IF(SUMIFS(Detalle_OT!$J$2:$J$592,Detalle_OT!$B$2:$B$592,A181)&gt;0,1,0)</f>
        <v>0</v>
      </c>
      <c r="AL181">
        <f>IF(AND(OR(Dashboard!$D$5="Todos",AD181=Dashboard!$D$5),OR(Dashboard!$F$5="Todos",D181=Dashboard!$F$5),OR(Dashboard!$H$5="Todos",I181=Dashboard!$H$5)),1,0)</f>
        <v>1</v>
      </c>
      <c r="AM181">
        <f>IF(AND(OR(Control_Mandante!$C$4="Todos", AD181=Control_Mandante!$C$4), OR(Control_Mandante!$F$4="Todos", B181=Control_Mandante!$F$4), OR(Control_Mandante!$I$4="Todos", W181=Control_Mandante!$I$4), OR(Control_Mandante!$L$4="Todos", H181=Control_Mandante!$L$4)), 1, 0)</f>
        <v>1</v>
      </c>
      <c r="AN181" t="str">
        <f>IF(AH181=1, COUNTIF(AH$2:AH181, 1), "")</f>
        <v/>
      </c>
      <c r="AO181" t="str">
        <f>IF(AJ181=1, COUNTIF(AJ$2:AJ181, 1), "")</f>
        <v/>
      </c>
      <c r="AP181" t="str">
        <f>IF(AK181=1, COUNTIF(AK$2:AK181, 1), "")</f>
        <v/>
      </c>
    </row>
  </sheetData>
  <conditionalFormatting sqref="A2:A181">
    <cfRule type="expression" dxfId="19" priority="5">
      <formula>$O2=1</formula>
    </cfRule>
  </conditionalFormatting>
  <conditionalFormatting sqref="S2:S181">
    <cfRule type="expression" dxfId="18" priority="2">
      <formula>AND(ISNUMBER(S2),S2&lt;0)</formula>
    </cfRule>
    <cfRule type="expression" dxfId="17" priority="3">
      <formula>AND(ISNUMBER(S2),S2&gt;=0,S2&lt;0.15)</formula>
    </cfRule>
    <cfRule type="expression" dxfId="16" priority="4">
      <formula>AND(ISNUMBER(S2),S2&gt;=0.15)</formula>
    </cfRule>
  </conditionalFormatting>
  <dataValidations count="3">
    <dataValidation type="list" sqref="D2:D481" xr:uid="{00000000-0002-0000-0700-000000000000}">
      <formula1>"Preventivo,Correctivo/Mecánica,Siniestro/Carrocería"</formula1>
      <formula2>0</formula2>
    </dataValidation>
    <dataValidation type="list" sqref="I2:I481" xr:uid="{00000000-0002-0000-0700-000001000000}">
      <formula1>"En Curso,Terminada,Entregada,Reprogramada"</formula1>
      <formula2>0</formula2>
    </dataValidation>
    <dataValidation type="list" sqref="J2:J481" xr:uid="{00000000-0002-0000-0700-000002000000}">
      <formula1>"Pendiente,Facturado,Pagado"</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B7083"/>
  </sheetPr>
  <dimension ref="A1:K592"/>
  <sheetViews>
    <sheetView zoomScaleNormal="100" workbookViewId="0">
      <pane ySplit="1" topLeftCell="A2" activePane="bottomLeft" state="frozen"/>
      <selection pane="bottomLeft"/>
    </sheetView>
  </sheetViews>
  <sheetFormatPr baseColWidth="10" defaultColWidth="8.7109375" defaultRowHeight="15" x14ac:dyDescent="0.25"/>
  <cols>
    <col min="1" max="1" width="13" customWidth="1"/>
    <col min="2" max="2" width="11" customWidth="1"/>
    <col min="3" max="3" width="16" customWidth="1"/>
    <col min="4" max="4" width="22" customWidth="1"/>
    <col min="5" max="5" width="16" customWidth="1"/>
    <col min="6" max="6" width="15" customWidth="1"/>
    <col min="7" max="7" width="22" customWidth="1"/>
    <col min="8" max="9" width="14" customWidth="1"/>
    <col min="10" max="10" width="12" customWidth="1"/>
    <col min="11" max="11" width="10" customWidth="1"/>
  </cols>
  <sheetData>
    <row r="1" spans="1:11" ht="31.5" customHeight="1" x14ac:dyDescent="0.25">
      <c r="A1" s="7" t="s">
        <v>1154</v>
      </c>
      <c r="B1" s="7" t="s">
        <v>233</v>
      </c>
      <c r="C1" s="7" t="s">
        <v>1155</v>
      </c>
      <c r="D1" s="7" t="s">
        <v>1156</v>
      </c>
      <c r="E1" s="7" t="s">
        <v>1157</v>
      </c>
      <c r="F1" s="7" t="s">
        <v>1158</v>
      </c>
      <c r="G1" s="7" t="s">
        <v>1159</v>
      </c>
      <c r="H1" s="9" t="s">
        <v>1160</v>
      </c>
      <c r="I1" s="9" t="s">
        <v>1161</v>
      </c>
      <c r="J1" s="9" t="s">
        <v>1162</v>
      </c>
      <c r="K1" s="9" t="s">
        <v>269</v>
      </c>
    </row>
    <row r="2" spans="1:11" x14ac:dyDescent="0.25">
      <c r="A2" s="8" t="s">
        <v>1163</v>
      </c>
      <c r="B2" s="8" t="s">
        <v>274</v>
      </c>
      <c r="C2" s="8" t="s">
        <v>1164</v>
      </c>
      <c r="D2" s="8" t="s">
        <v>15</v>
      </c>
      <c r="E2" s="8">
        <v>1</v>
      </c>
      <c r="F2" s="10">
        <v>22090</v>
      </c>
      <c r="G2" s="10">
        <v>27930</v>
      </c>
      <c r="H2" s="10">
        <f t="shared" ref="H2:H65" si="0">IF(OR(ISBLANK(F2),NOT(ISNUMBER(F2))),"",E2*F2)</f>
        <v>22090</v>
      </c>
      <c r="I2" s="10">
        <f t="shared" ref="I2:I65" si="1">IF(OR(ISBLANK(G2),NOT(ISNUMBER(G2))),"",E2*G2)</f>
        <v>27930</v>
      </c>
      <c r="J2" s="8">
        <f t="shared" ref="J2:J65" si="2">IF(AND(ISNUMBER(F2),ISNUMBER(G2)),0,1)</f>
        <v>0</v>
      </c>
      <c r="K2" s="8">
        <f>IFERROR(INDEX(T_OrdenesTrabajo[En_Filtro],MATCH(B2,T_OrdenesTrabajo[ID_OT],0)),0)</f>
        <v>1</v>
      </c>
    </row>
    <row r="3" spans="1:11" x14ac:dyDescent="0.25">
      <c r="A3" s="8" t="s">
        <v>1165</v>
      </c>
      <c r="B3" s="8" t="s">
        <v>274</v>
      </c>
      <c r="C3" s="8" t="s">
        <v>1164</v>
      </c>
      <c r="D3" s="8" t="s">
        <v>17</v>
      </c>
      <c r="E3" s="8">
        <v>17</v>
      </c>
      <c r="F3" s="10">
        <v>5350</v>
      </c>
      <c r="G3" s="10">
        <v>6870</v>
      </c>
      <c r="H3" s="10">
        <f t="shared" si="0"/>
        <v>90950</v>
      </c>
      <c r="I3" s="10">
        <f t="shared" si="1"/>
        <v>116790</v>
      </c>
      <c r="J3" s="8">
        <f t="shared" si="2"/>
        <v>0</v>
      </c>
      <c r="K3" s="8">
        <f>IFERROR(INDEX(T_OrdenesTrabajo[En_Filtro],MATCH(B3,T_OrdenesTrabajo[ID_OT],0)),0)</f>
        <v>1</v>
      </c>
    </row>
    <row r="4" spans="1:11" x14ac:dyDescent="0.25">
      <c r="A4" s="8" t="s">
        <v>1166</v>
      </c>
      <c r="B4" s="8" t="s">
        <v>274</v>
      </c>
      <c r="C4" s="8" t="s">
        <v>1167</v>
      </c>
      <c r="D4" s="8" t="s">
        <v>219</v>
      </c>
      <c r="E4" s="8">
        <v>4</v>
      </c>
      <c r="F4" s="10">
        <v>11700</v>
      </c>
      <c r="G4" s="10">
        <v>24800</v>
      </c>
      <c r="H4" s="10">
        <f t="shared" si="0"/>
        <v>46800</v>
      </c>
      <c r="I4" s="10">
        <f t="shared" si="1"/>
        <v>99200</v>
      </c>
      <c r="J4" s="8">
        <f t="shared" si="2"/>
        <v>0</v>
      </c>
      <c r="K4" s="8">
        <f>IFERROR(INDEX(T_OrdenesTrabajo[En_Filtro],MATCH(B4,T_OrdenesTrabajo[ID_OT],0)),0)</f>
        <v>1</v>
      </c>
    </row>
    <row r="5" spans="1:11" x14ac:dyDescent="0.25">
      <c r="A5" s="8" t="s">
        <v>1168</v>
      </c>
      <c r="B5" s="8" t="s">
        <v>283</v>
      </c>
      <c r="C5" s="8" t="s">
        <v>1164</v>
      </c>
      <c r="D5" s="8" t="s">
        <v>22</v>
      </c>
      <c r="E5" s="8">
        <v>14</v>
      </c>
      <c r="F5" s="10">
        <v>4500</v>
      </c>
      <c r="G5" s="10">
        <v>6120</v>
      </c>
      <c r="H5" s="10">
        <f t="shared" si="0"/>
        <v>63000</v>
      </c>
      <c r="I5" s="10">
        <f t="shared" si="1"/>
        <v>85680</v>
      </c>
      <c r="J5" s="8">
        <f t="shared" si="2"/>
        <v>0</v>
      </c>
      <c r="K5" s="8">
        <f>IFERROR(INDEX(T_OrdenesTrabajo[En_Filtro],MATCH(B5,T_OrdenesTrabajo[ID_OT],0)),0)</f>
        <v>1</v>
      </c>
    </row>
    <row r="6" spans="1:11" x14ac:dyDescent="0.25">
      <c r="A6" s="8" t="s">
        <v>1169</v>
      </c>
      <c r="B6" s="8" t="s">
        <v>283</v>
      </c>
      <c r="C6" s="8" t="s">
        <v>1164</v>
      </c>
      <c r="D6" s="8" t="s">
        <v>13</v>
      </c>
      <c r="E6" s="8">
        <v>1</v>
      </c>
      <c r="F6" s="10">
        <v>31290</v>
      </c>
      <c r="G6" s="10">
        <v>37890</v>
      </c>
      <c r="H6" s="10">
        <f t="shared" si="0"/>
        <v>31290</v>
      </c>
      <c r="I6" s="10">
        <f t="shared" si="1"/>
        <v>37890</v>
      </c>
      <c r="J6" s="8">
        <f t="shared" si="2"/>
        <v>0</v>
      </c>
      <c r="K6" s="8">
        <f>IFERROR(INDEX(T_OrdenesTrabajo[En_Filtro],MATCH(B6,T_OrdenesTrabajo[ID_OT],0)),0)</f>
        <v>1</v>
      </c>
    </row>
    <row r="7" spans="1:11" x14ac:dyDescent="0.25">
      <c r="A7" s="8" t="s">
        <v>1170</v>
      </c>
      <c r="B7" s="8" t="s">
        <v>283</v>
      </c>
      <c r="C7" s="8" t="s">
        <v>1167</v>
      </c>
      <c r="D7" s="8" t="s">
        <v>214</v>
      </c>
      <c r="E7" s="8">
        <v>4</v>
      </c>
      <c r="F7" s="10">
        <v>12900</v>
      </c>
      <c r="G7" s="10">
        <v>23000</v>
      </c>
      <c r="H7" s="10">
        <f t="shared" si="0"/>
        <v>51600</v>
      </c>
      <c r="I7" s="10">
        <f t="shared" si="1"/>
        <v>92000</v>
      </c>
      <c r="J7" s="8">
        <f t="shared" si="2"/>
        <v>0</v>
      </c>
      <c r="K7" s="8">
        <f>IFERROR(INDEX(T_OrdenesTrabajo[En_Filtro],MATCH(B7,T_OrdenesTrabajo[ID_OT],0)),0)</f>
        <v>1</v>
      </c>
    </row>
    <row r="8" spans="1:11" x14ac:dyDescent="0.25">
      <c r="A8" s="8" t="s">
        <v>1171</v>
      </c>
      <c r="B8" s="8" t="s">
        <v>288</v>
      </c>
      <c r="C8" s="8" t="s">
        <v>1164</v>
      </c>
      <c r="D8" s="8" t="s">
        <v>59</v>
      </c>
      <c r="E8" s="8">
        <v>2</v>
      </c>
      <c r="F8" s="10">
        <v>15700</v>
      </c>
      <c r="G8" s="10">
        <v>21580</v>
      </c>
      <c r="H8" s="10">
        <f t="shared" si="0"/>
        <v>31400</v>
      </c>
      <c r="I8" s="10">
        <f t="shared" si="1"/>
        <v>43160</v>
      </c>
      <c r="J8" s="8">
        <f t="shared" si="2"/>
        <v>0</v>
      </c>
      <c r="K8" s="8">
        <f>IFERROR(INDEX(T_OrdenesTrabajo[En_Filtro],MATCH(B8,T_OrdenesTrabajo[ID_OT],0)),0)</f>
        <v>1</v>
      </c>
    </row>
    <row r="9" spans="1:11" x14ac:dyDescent="0.25">
      <c r="A9" s="8" t="s">
        <v>1172</v>
      </c>
      <c r="B9" s="8" t="s">
        <v>288</v>
      </c>
      <c r="C9" s="8" t="s">
        <v>1164</v>
      </c>
      <c r="D9" s="8" t="s">
        <v>20</v>
      </c>
      <c r="E9" s="8">
        <v>9</v>
      </c>
      <c r="F9" s="10">
        <v>6750</v>
      </c>
      <c r="G9" s="10">
        <v>8650</v>
      </c>
      <c r="H9" s="10">
        <f t="shared" si="0"/>
        <v>60750</v>
      </c>
      <c r="I9" s="10">
        <f t="shared" si="1"/>
        <v>77850</v>
      </c>
      <c r="J9" s="8">
        <f t="shared" si="2"/>
        <v>0</v>
      </c>
      <c r="K9" s="8">
        <f>IFERROR(INDEX(T_OrdenesTrabajo[En_Filtro],MATCH(B9,T_OrdenesTrabajo[ID_OT],0)),0)</f>
        <v>1</v>
      </c>
    </row>
    <row r="10" spans="1:11" x14ac:dyDescent="0.25">
      <c r="A10" s="8" t="s">
        <v>1173</v>
      </c>
      <c r="B10" s="8" t="s">
        <v>288</v>
      </c>
      <c r="C10" s="8" t="s">
        <v>1167</v>
      </c>
      <c r="D10" s="8" t="s">
        <v>219</v>
      </c>
      <c r="E10" s="8">
        <v>2</v>
      </c>
      <c r="F10" s="10">
        <v>13600</v>
      </c>
      <c r="G10" s="10">
        <v>23700</v>
      </c>
      <c r="H10" s="10">
        <f t="shared" si="0"/>
        <v>27200</v>
      </c>
      <c r="I10" s="10">
        <f t="shared" si="1"/>
        <v>47400</v>
      </c>
      <c r="J10" s="8">
        <f t="shared" si="2"/>
        <v>0</v>
      </c>
      <c r="K10" s="8">
        <f>IFERROR(INDEX(T_OrdenesTrabajo[En_Filtro],MATCH(B10,T_OrdenesTrabajo[ID_OT],0)),0)</f>
        <v>1</v>
      </c>
    </row>
    <row r="11" spans="1:11" x14ac:dyDescent="0.25">
      <c r="A11" s="8" t="s">
        <v>1174</v>
      </c>
      <c r="B11" s="8" t="s">
        <v>293</v>
      </c>
      <c r="C11" s="8" t="s">
        <v>1164</v>
      </c>
      <c r="D11" s="8" t="s">
        <v>24</v>
      </c>
      <c r="E11" s="8">
        <v>1</v>
      </c>
      <c r="F11" s="10">
        <v>376360</v>
      </c>
      <c r="G11" s="10">
        <v>458880</v>
      </c>
      <c r="H11" s="10">
        <f t="shared" si="0"/>
        <v>376360</v>
      </c>
      <c r="I11" s="10">
        <f t="shared" si="1"/>
        <v>458880</v>
      </c>
      <c r="J11" s="8">
        <f t="shared" si="2"/>
        <v>0</v>
      </c>
      <c r="K11" s="8">
        <f>IFERROR(INDEX(T_OrdenesTrabajo[En_Filtro],MATCH(B11,T_OrdenesTrabajo[ID_OT],0)),0)</f>
        <v>1</v>
      </c>
    </row>
    <row r="12" spans="1:11" x14ac:dyDescent="0.25">
      <c r="A12" s="8" t="s">
        <v>1175</v>
      </c>
      <c r="B12" s="8" t="s">
        <v>293</v>
      </c>
      <c r="C12" s="8" t="s">
        <v>1167</v>
      </c>
      <c r="D12" s="8" t="s">
        <v>226</v>
      </c>
      <c r="E12" s="8">
        <v>21</v>
      </c>
      <c r="F12" s="10">
        <v>13700</v>
      </c>
      <c r="G12" s="10">
        <v>24400</v>
      </c>
      <c r="H12" s="10">
        <f t="shared" si="0"/>
        <v>287700</v>
      </c>
      <c r="I12" s="10">
        <f t="shared" si="1"/>
        <v>512400</v>
      </c>
      <c r="J12" s="8">
        <f t="shared" si="2"/>
        <v>0</v>
      </c>
      <c r="K12" s="8">
        <f>IFERROR(INDEX(T_OrdenesTrabajo[En_Filtro],MATCH(B12,T_OrdenesTrabajo[ID_OT],0)),0)</f>
        <v>1</v>
      </c>
    </row>
    <row r="13" spans="1:11" x14ac:dyDescent="0.25">
      <c r="A13" s="8" t="s">
        <v>1176</v>
      </c>
      <c r="B13" s="8" t="s">
        <v>299</v>
      </c>
      <c r="C13" s="8" t="s">
        <v>1164</v>
      </c>
      <c r="D13" s="8" t="s">
        <v>59</v>
      </c>
      <c r="E13" s="8">
        <v>1</v>
      </c>
      <c r="F13" s="10">
        <v>16100</v>
      </c>
      <c r="G13" s="10">
        <v>22060</v>
      </c>
      <c r="H13" s="10">
        <f t="shared" si="0"/>
        <v>16100</v>
      </c>
      <c r="I13" s="10">
        <f t="shared" si="1"/>
        <v>22060</v>
      </c>
      <c r="J13" s="8">
        <f t="shared" si="2"/>
        <v>0</v>
      </c>
      <c r="K13" s="8">
        <f>IFERROR(INDEX(T_OrdenesTrabajo[En_Filtro],MATCH(B13,T_OrdenesTrabajo[ID_OT],0)),0)</f>
        <v>1</v>
      </c>
    </row>
    <row r="14" spans="1:11" x14ac:dyDescent="0.25">
      <c r="A14" s="8" t="s">
        <v>1177</v>
      </c>
      <c r="B14" s="8" t="s">
        <v>299</v>
      </c>
      <c r="C14" s="8" t="s">
        <v>1167</v>
      </c>
      <c r="D14" s="8" t="s">
        <v>219</v>
      </c>
      <c r="E14" s="8">
        <v>8</v>
      </c>
      <c r="F14" s="10">
        <v>12900</v>
      </c>
      <c r="G14" s="10">
        <v>24000</v>
      </c>
      <c r="H14" s="10">
        <f t="shared" si="0"/>
        <v>103200</v>
      </c>
      <c r="I14" s="10">
        <f t="shared" si="1"/>
        <v>192000</v>
      </c>
      <c r="J14" s="8">
        <f t="shared" si="2"/>
        <v>0</v>
      </c>
      <c r="K14" s="8">
        <f>IFERROR(INDEX(T_OrdenesTrabajo[En_Filtro],MATCH(B14,T_OrdenesTrabajo[ID_OT],0)),0)</f>
        <v>1</v>
      </c>
    </row>
    <row r="15" spans="1:11" x14ac:dyDescent="0.25">
      <c r="A15" s="8" t="s">
        <v>1178</v>
      </c>
      <c r="B15" s="8" t="s">
        <v>299</v>
      </c>
      <c r="C15" s="8" t="s">
        <v>1167</v>
      </c>
      <c r="D15" s="8" t="s">
        <v>219</v>
      </c>
      <c r="E15" s="8">
        <v>14</v>
      </c>
      <c r="F15" s="10">
        <v>12400</v>
      </c>
      <c r="G15" s="10">
        <v>24900</v>
      </c>
      <c r="H15" s="10">
        <f t="shared" si="0"/>
        <v>173600</v>
      </c>
      <c r="I15" s="10">
        <f t="shared" si="1"/>
        <v>348600</v>
      </c>
      <c r="J15" s="8">
        <f t="shared" si="2"/>
        <v>0</v>
      </c>
      <c r="K15" s="8">
        <f>IFERROR(INDEX(T_OrdenesTrabajo[En_Filtro],MATCH(B15,T_OrdenesTrabajo[ID_OT],0)),0)</f>
        <v>1</v>
      </c>
    </row>
    <row r="16" spans="1:11" x14ac:dyDescent="0.25">
      <c r="A16" s="8" t="s">
        <v>1179</v>
      </c>
      <c r="B16" s="8" t="s">
        <v>305</v>
      </c>
      <c r="C16" s="8" t="s">
        <v>1164</v>
      </c>
      <c r="D16" s="8" t="s">
        <v>45</v>
      </c>
      <c r="E16" s="8">
        <v>14</v>
      </c>
      <c r="F16" s="10">
        <v>23930</v>
      </c>
      <c r="G16" s="10">
        <v>31380</v>
      </c>
      <c r="H16" s="10">
        <f t="shared" si="0"/>
        <v>335020</v>
      </c>
      <c r="I16" s="10">
        <f t="shared" si="1"/>
        <v>439320</v>
      </c>
      <c r="J16" s="8">
        <f t="shared" si="2"/>
        <v>0</v>
      </c>
      <c r="K16" s="8">
        <f>IFERROR(INDEX(T_OrdenesTrabajo[En_Filtro],MATCH(B16,T_OrdenesTrabajo[ID_OT],0)),0)</f>
        <v>1</v>
      </c>
    </row>
    <row r="17" spans="1:11" x14ac:dyDescent="0.25">
      <c r="A17" s="8" t="s">
        <v>1180</v>
      </c>
      <c r="B17" s="8" t="s">
        <v>305</v>
      </c>
      <c r="C17" s="8" t="s">
        <v>1164</v>
      </c>
      <c r="D17" s="8" t="s">
        <v>38</v>
      </c>
      <c r="E17" s="8">
        <v>2</v>
      </c>
      <c r="F17" s="10">
        <v>58770</v>
      </c>
      <c r="G17" s="10">
        <v>85050</v>
      </c>
      <c r="H17" s="10">
        <f t="shared" si="0"/>
        <v>117540</v>
      </c>
      <c r="I17" s="10">
        <f t="shared" si="1"/>
        <v>170100</v>
      </c>
      <c r="J17" s="8">
        <f t="shared" si="2"/>
        <v>0</v>
      </c>
      <c r="K17" s="8">
        <f>IFERROR(INDEX(T_OrdenesTrabajo[En_Filtro],MATCH(B17,T_OrdenesTrabajo[ID_OT],0)),0)</f>
        <v>1</v>
      </c>
    </row>
    <row r="18" spans="1:11" x14ac:dyDescent="0.25">
      <c r="A18" s="8" t="s">
        <v>1181</v>
      </c>
      <c r="B18" s="8" t="s">
        <v>305</v>
      </c>
      <c r="C18" s="8" t="s">
        <v>1167</v>
      </c>
      <c r="D18" s="8" t="s">
        <v>224</v>
      </c>
      <c r="E18" s="8">
        <v>12</v>
      </c>
      <c r="F18" s="10">
        <v>14100</v>
      </c>
      <c r="G18" s="10">
        <v>23400</v>
      </c>
      <c r="H18" s="10">
        <f t="shared" si="0"/>
        <v>169200</v>
      </c>
      <c r="I18" s="10">
        <f t="shared" si="1"/>
        <v>280800</v>
      </c>
      <c r="J18" s="8">
        <f t="shared" si="2"/>
        <v>0</v>
      </c>
      <c r="K18" s="8">
        <f>IFERROR(INDEX(T_OrdenesTrabajo[En_Filtro],MATCH(B18,T_OrdenesTrabajo[ID_OT],0)),0)</f>
        <v>1</v>
      </c>
    </row>
    <row r="19" spans="1:11" x14ac:dyDescent="0.25">
      <c r="A19" s="8" t="s">
        <v>1182</v>
      </c>
      <c r="B19" s="8" t="s">
        <v>305</v>
      </c>
      <c r="C19" s="8" t="s">
        <v>1167</v>
      </c>
      <c r="D19" s="8" t="s">
        <v>219</v>
      </c>
      <c r="E19" s="8">
        <v>17</v>
      </c>
      <c r="F19" s="10">
        <v>12700</v>
      </c>
      <c r="G19" s="10">
        <v>24800</v>
      </c>
      <c r="H19" s="10">
        <f t="shared" si="0"/>
        <v>215900</v>
      </c>
      <c r="I19" s="10">
        <f t="shared" si="1"/>
        <v>421600</v>
      </c>
      <c r="J19" s="8">
        <f t="shared" si="2"/>
        <v>0</v>
      </c>
      <c r="K19" s="8">
        <f>IFERROR(INDEX(T_OrdenesTrabajo[En_Filtro],MATCH(B19,T_OrdenesTrabajo[ID_OT],0)),0)</f>
        <v>1</v>
      </c>
    </row>
    <row r="20" spans="1:11" x14ac:dyDescent="0.25">
      <c r="A20" s="8" t="s">
        <v>1183</v>
      </c>
      <c r="B20" s="8" t="s">
        <v>310</v>
      </c>
      <c r="C20" s="8" t="s">
        <v>1164</v>
      </c>
      <c r="D20" s="8" t="s">
        <v>15</v>
      </c>
      <c r="E20" s="8">
        <v>2</v>
      </c>
      <c r="F20" s="10">
        <v>21300</v>
      </c>
      <c r="G20" s="10">
        <v>27780</v>
      </c>
      <c r="H20" s="10">
        <f t="shared" si="0"/>
        <v>42600</v>
      </c>
      <c r="I20" s="10">
        <f t="shared" si="1"/>
        <v>55560</v>
      </c>
      <c r="J20" s="8">
        <f t="shared" si="2"/>
        <v>0</v>
      </c>
      <c r="K20" s="8">
        <f>IFERROR(INDEX(T_OrdenesTrabajo[En_Filtro],MATCH(B20,T_OrdenesTrabajo[ID_OT],0)),0)</f>
        <v>1</v>
      </c>
    </row>
    <row r="21" spans="1:11" x14ac:dyDescent="0.25">
      <c r="A21" s="8" t="s">
        <v>1184</v>
      </c>
      <c r="B21" s="8" t="s">
        <v>310</v>
      </c>
      <c r="C21" s="8" t="s">
        <v>1167</v>
      </c>
      <c r="D21" s="8" t="s">
        <v>219</v>
      </c>
      <c r="E21" s="8">
        <v>5</v>
      </c>
      <c r="F21" s="10">
        <v>13400</v>
      </c>
      <c r="G21" s="10">
        <v>24600</v>
      </c>
      <c r="H21" s="10">
        <f t="shared" si="0"/>
        <v>67000</v>
      </c>
      <c r="I21" s="10">
        <f t="shared" si="1"/>
        <v>123000</v>
      </c>
      <c r="J21" s="8">
        <f t="shared" si="2"/>
        <v>0</v>
      </c>
      <c r="K21" s="8">
        <f>IFERROR(INDEX(T_OrdenesTrabajo[En_Filtro],MATCH(B21,T_OrdenesTrabajo[ID_OT],0)),0)</f>
        <v>1</v>
      </c>
    </row>
    <row r="22" spans="1:11" x14ac:dyDescent="0.25">
      <c r="A22" s="8" t="s">
        <v>1185</v>
      </c>
      <c r="B22" s="8" t="s">
        <v>310</v>
      </c>
      <c r="C22" s="8" t="s">
        <v>1167</v>
      </c>
      <c r="D22" s="8" t="s">
        <v>228</v>
      </c>
      <c r="E22" s="8">
        <v>6</v>
      </c>
      <c r="F22" s="10">
        <v>13900</v>
      </c>
      <c r="G22" s="10">
        <v>26700</v>
      </c>
      <c r="H22" s="10">
        <f t="shared" si="0"/>
        <v>83400</v>
      </c>
      <c r="I22" s="10">
        <f t="shared" si="1"/>
        <v>160200</v>
      </c>
      <c r="J22" s="8">
        <f t="shared" si="2"/>
        <v>0</v>
      </c>
      <c r="K22" s="8">
        <f>IFERROR(INDEX(T_OrdenesTrabajo[En_Filtro],MATCH(B22,T_OrdenesTrabajo[ID_OT],0)),0)</f>
        <v>1</v>
      </c>
    </row>
    <row r="23" spans="1:11" x14ac:dyDescent="0.25">
      <c r="A23" s="8" t="s">
        <v>1186</v>
      </c>
      <c r="B23" s="8" t="s">
        <v>315</v>
      </c>
      <c r="C23" s="8" t="s">
        <v>1164</v>
      </c>
      <c r="D23" s="8" t="s">
        <v>29</v>
      </c>
      <c r="E23" s="8">
        <v>3</v>
      </c>
      <c r="F23" s="10">
        <v>82690</v>
      </c>
      <c r="G23" s="10">
        <v>83810</v>
      </c>
      <c r="H23" s="10">
        <f t="shared" si="0"/>
        <v>248070</v>
      </c>
      <c r="I23" s="10">
        <f t="shared" si="1"/>
        <v>251430</v>
      </c>
      <c r="J23" s="8">
        <f t="shared" si="2"/>
        <v>0</v>
      </c>
      <c r="K23" s="8">
        <f>IFERROR(INDEX(T_OrdenesTrabajo[En_Filtro],MATCH(B23,T_OrdenesTrabajo[ID_OT],0)),0)</f>
        <v>1</v>
      </c>
    </row>
    <row r="24" spans="1:11" x14ac:dyDescent="0.25">
      <c r="A24" s="8" t="s">
        <v>1187</v>
      </c>
      <c r="B24" s="8" t="s">
        <v>315</v>
      </c>
      <c r="C24" s="8" t="s">
        <v>1164</v>
      </c>
      <c r="D24" s="8" t="s">
        <v>38</v>
      </c>
      <c r="E24" s="8">
        <v>3</v>
      </c>
      <c r="F24" s="10">
        <v>56060</v>
      </c>
      <c r="G24" s="10">
        <v>63590</v>
      </c>
      <c r="H24" s="10">
        <f t="shared" si="0"/>
        <v>168180</v>
      </c>
      <c r="I24" s="10">
        <f t="shared" si="1"/>
        <v>190770</v>
      </c>
      <c r="J24" s="8">
        <f t="shared" si="2"/>
        <v>0</v>
      </c>
      <c r="K24" s="8">
        <f>IFERROR(INDEX(T_OrdenesTrabajo[En_Filtro],MATCH(B24,T_OrdenesTrabajo[ID_OT],0)),0)</f>
        <v>1</v>
      </c>
    </row>
    <row r="25" spans="1:11" x14ac:dyDescent="0.25">
      <c r="A25" s="8" t="s">
        <v>1188</v>
      </c>
      <c r="B25" s="8" t="s">
        <v>315</v>
      </c>
      <c r="C25" s="8" t="s">
        <v>1167</v>
      </c>
      <c r="D25" s="8" t="s">
        <v>226</v>
      </c>
      <c r="E25" s="8">
        <v>10</v>
      </c>
      <c r="F25" s="10">
        <v>14300</v>
      </c>
      <c r="G25" s="10">
        <v>18300</v>
      </c>
      <c r="H25" s="10">
        <f t="shared" si="0"/>
        <v>143000</v>
      </c>
      <c r="I25" s="10">
        <f t="shared" si="1"/>
        <v>183000</v>
      </c>
      <c r="J25" s="8">
        <f t="shared" si="2"/>
        <v>0</v>
      </c>
      <c r="K25" s="8">
        <f>IFERROR(INDEX(T_OrdenesTrabajo[En_Filtro],MATCH(B25,T_OrdenesTrabajo[ID_OT],0)),0)</f>
        <v>1</v>
      </c>
    </row>
    <row r="26" spans="1:11" x14ac:dyDescent="0.25">
      <c r="A26" s="8" t="s">
        <v>1189</v>
      </c>
      <c r="B26" s="8" t="s">
        <v>315</v>
      </c>
      <c r="C26" s="8" t="s">
        <v>1167</v>
      </c>
      <c r="D26" s="8" t="s">
        <v>224</v>
      </c>
      <c r="E26" s="8">
        <v>15</v>
      </c>
      <c r="F26" s="10">
        <v>12500</v>
      </c>
      <c r="G26" s="10">
        <v>19400</v>
      </c>
      <c r="H26" s="10">
        <f t="shared" si="0"/>
        <v>187500</v>
      </c>
      <c r="I26" s="10">
        <f t="shared" si="1"/>
        <v>291000</v>
      </c>
      <c r="J26" s="8">
        <f t="shared" si="2"/>
        <v>0</v>
      </c>
      <c r="K26" s="8">
        <f>IFERROR(INDEX(T_OrdenesTrabajo[En_Filtro],MATCH(B26,T_OrdenesTrabajo[ID_OT],0)),0)</f>
        <v>1</v>
      </c>
    </row>
    <row r="27" spans="1:11" x14ac:dyDescent="0.25">
      <c r="A27" s="8" t="s">
        <v>1190</v>
      </c>
      <c r="B27" s="8" t="s">
        <v>320</v>
      </c>
      <c r="C27" s="8" t="s">
        <v>1164</v>
      </c>
      <c r="D27" s="8" t="s">
        <v>20</v>
      </c>
      <c r="E27" s="8">
        <v>12</v>
      </c>
      <c r="F27" s="10">
        <v>6240</v>
      </c>
      <c r="G27" s="10">
        <v>8020</v>
      </c>
      <c r="H27" s="10">
        <f t="shared" si="0"/>
        <v>74880</v>
      </c>
      <c r="I27" s="10">
        <f t="shared" si="1"/>
        <v>96240</v>
      </c>
      <c r="J27" s="8">
        <f t="shared" si="2"/>
        <v>0</v>
      </c>
      <c r="K27" s="8">
        <f>IFERROR(INDEX(T_OrdenesTrabajo[En_Filtro],MATCH(B27,T_OrdenesTrabajo[ID_OT],0)),0)</f>
        <v>1</v>
      </c>
    </row>
    <row r="28" spans="1:11" x14ac:dyDescent="0.25">
      <c r="A28" s="8" t="s">
        <v>1191</v>
      </c>
      <c r="B28" s="8" t="s">
        <v>320</v>
      </c>
      <c r="C28" s="8" t="s">
        <v>1164</v>
      </c>
      <c r="D28" s="8" t="s">
        <v>15</v>
      </c>
      <c r="E28" s="8">
        <v>2</v>
      </c>
      <c r="F28" s="10">
        <v>21790</v>
      </c>
      <c r="G28" s="10">
        <v>29510</v>
      </c>
      <c r="H28" s="10">
        <f t="shared" si="0"/>
        <v>43580</v>
      </c>
      <c r="I28" s="10">
        <f t="shared" si="1"/>
        <v>59020</v>
      </c>
      <c r="J28" s="8">
        <f t="shared" si="2"/>
        <v>0</v>
      </c>
      <c r="K28" s="8">
        <f>IFERROR(INDEX(T_OrdenesTrabajo[En_Filtro],MATCH(B28,T_OrdenesTrabajo[ID_OT],0)),0)</f>
        <v>1</v>
      </c>
    </row>
    <row r="29" spans="1:11" x14ac:dyDescent="0.25">
      <c r="A29" s="8" t="s">
        <v>1192</v>
      </c>
      <c r="B29" s="8" t="s">
        <v>320</v>
      </c>
      <c r="C29" s="8" t="s">
        <v>1167</v>
      </c>
      <c r="D29" s="8" t="s">
        <v>214</v>
      </c>
      <c r="E29" s="8">
        <v>6</v>
      </c>
      <c r="F29" s="10">
        <v>11900</v>
      </c>
      <c r="G29" s="10">
        <v>22800</v>
      </c>
      <c r="H29" s="10">
        <f t="shared" si="0"/>
        <v>71400</v>
      </c>
      <c r="I29" s="10">
        <f t="shared" si="1"/>
        <v>136800</v>
      </c>
      <c r="J29" s="8">
        <f t="shared" si="2"/>
        <v>0</v>
      </c>
      <c r="K29" s="8">
        <f>IFERROR(INDEX(T_OrdenesTrabajo[En_Filtro],MATCH(B29,T_OrdenesTrabajo[ID_OT],0)),0)</f>
        <v>1</v>
      </c>
    </row>
    <row r="30" spans="1:11" x14ac:dyDescent="0.25">
      <c r="A30" s="8" t="s">
        <v>1193</v>
      </c>
      <c r="B30" s="8" t="s">
        <v>325</v>
      </c>
      <c r="C30" s="8" t="s">
        <v>1164</v>
      </c>
      <c r="D30" s="8" t="s">
        <v>59</v>
      </c>
      <c r="E30" s="8">
        <v>3</v>
      </c>
      <c r="F30" s="10">
        <v>15500</v>
      </c>
      <c r="G30" s="10">
        <v>11550</v>
      </c>
      <c r="H30" s="10">
        <f t="shared" si="0"/>
        <v>46500</v>
      </c>
      <c r="I30" s="10">
        <f t="shared" si="1"/>
        <v>34650</v>
      </c>
      <c r="J30" s="8">
        <f t="shared" si="2"/>
        <v>0</v>
      </c>
      <c r="K30" s="8">
        <f>IFERROR(INDEX(T_OrdenesTrabajo[En_Filtro],MATCH(B30,T_OrdenesTrabajo[ID_OT],0)),0)</f>
        <v>1</v>
      </c>
    </row>
    <row r="31" spans="1:11" x14ac:dyDescent="0.25">
      <c r="A31" s="8" t="s">
        <v>1194</v>
      </c>
      <c r="B31" s="8" t="s">
        <v>325</v>
      </c>
      <c r="C31" s="8" t="s">
        <v>1164</v>
      </c>
      <c r="D31" s="8" t="s">
        <v>20</v>
      </c>
      <c r="E31" s="8">
        <v>21</v>
      </c>
      <c r="F31" s="10">
        <v>6660</v>
      </c>
      <c r="G31" s="10">
        <v>5840</v>
      </c>
      <c r="H31" s="10">
        <f t="shared" si="0"/>
        <v>139860</v>
      </c>
      <c r="I31" s="10">
        <f t="shared" si="1"/>
        <v>122640</v>
      </c>
      <c r="J31" s="8">
        <f t="shared" si="2"/>
        <v>0</v>
      </c>
      <c r="K31" s="8">
        <f>IFERROR(INDEX(T_OrdenesTrabajo[En_Filtro],MATCH(B31,T_OrdenesTrabajo[ID_OT],0)),0)</f>
        <v>1</v>
      </c>
    </row>
    <row r="32" spans="1:11" x14ac:dyDescent="0.25">
      <c r="A32" s="8" t="s">
        <v>1195</v>
      </c>
      <c r="B32" s="8" t="s">
        <v>325</v>
      </c>
      <c r="C32" s="8" t="s">
        <v>1167</v>
      </c>
      <c r="D32" s="8" t="s">
        <v>214</v>
      </c>
      <c r="E32" s="8">
        <v>7</v>
      </c>
      <c r="F32" s="10">
        <v>11400</v>
      </c>
      <c r="G32" s="10">
        <v>14900</v>
      </c>
      <c r="H32" s="10">
        <f t="shared" si="0"/>
        <v>79800</v>
      </c>
      <c r="I32" s="10">
        <f t="shared" si="1"/>
        <v>104300</v>
      </c>
      <c r="J32" s="8">
        <f t="shared" si="2"/>
        <v>0</v>
      </c>
      <c r="K32" s="8">
        <f>IFERROR(INDEX(T_OrdenesTrabajo[En_Filtro],MATCH(B32,T_OrdenesTrabajo[ID_OT],0)),0)</f>
        <v>1</v>
      </c>
    </row>
    <row r="33" spans="1:11" x14ac:dyDescent="0.25">
      <c r="A33" s="8" t="s">
        <v>1196</v>
      </c>
      <c r="B33" s="8" t="s">
        <v>325</v>
      </c>
      <c r="C33" s="8" t="s">
        <v>1167</v>
      </c>
      <c r="D33" s="8" t="s">
        <v>214</v>
      </c>
      <c r="E33" s="8">
        <v>11</v>
      </c>
      <c r="F33" s="10">
        <v>11800</v>
      </c>
      <c r="G33" s="10">
        <v>14300</v>
      </c>
      <c r="H33" s="10">
        <f t="shared" si="0"/>
        <v>129800</v>
      </c>
      <c r="I33" s="10">
        <f t="shared" si="1"/>
        <v>157300</v>
      </c>
      <c r="J33" s="8">
        <f t="shared" si="2"/>
        <v>0</v>
      </c>
      <c r="K33" s="8">
        <f>IFERROR(INDEX(T_OrdenesTrabajo[En_Filtro],MATCH(B33,T_OrdenesTrabajo[ID_OT],0)),0)</f>
        <v>1</v>
      </c>
    </row>
    <row r="34" spans="1:11" x14ac:dyDescent="0.25">
      <c r="A34" s="8" t="s">
        <v>1197</v>
      </c>
      <c r="B34" s="8" t="s">
        <v>330</v>
      </c>
      <c r="C34" s="8" t="s">
        <v>1164</v>
      </c>
      <c r="D34" s="8" t="s">
        <v>9</v>
      </c>
      <c r="E34" s="8">
        <v>2</v>
      </c>
      <c r="F34" s="10">
        <v>16090</v>
      </c>
      <c r="G34" s="10">
        <v>19220</v>
      </c>
      <c r="H34" s="10">
        <f t="shared" si="0"/>
        <v>32180</v>
      </c>
      <c r="I34" s="10">
        <f t="shared" si="1"/>
        <v>38440</v>
      </c>
      <c r="J34" s="8">
        <f t="shared" si="2"/>
        <v>0</v>
      </c>
      <c r="K34" s="8">
        <f>IFERROR(INDEX(T_OrdenesTrabajo[En_Filtro],MATCH(B34,T_OrdenesTrabajo[ID_OT],0)),0)</f>
        <v>1</v>
      </c>
    </row>
    <row r="35" spans="1:11" x14ac:dyDescent="0.25">
      <c r="A35" s="8" t="s">
        <v>1198</v>
      </c>
      <c r="B35" s="8" t="s">
        <v>330</v>
      </c>
      <c r="C35" s="8" t="s">
        <v>1164</v>
      </c>
      <c r="D35" s="8" t="s">
        <v>20</v>
      </c>
      <c r="E35" s="8">
        <v>15</v>
      </c>
      <c r="F35" s="10">
        <v>6820</v>
      </c>
      <c r="G35" s="10">
        <v>10030</v>
      </c>
      <c r="H35" s="10">
        <f t="shared" si="0"/>
        <v>102300</v>
      </c>
      <c r="I35" s="10">
        <f t="shared" si="1"/>
        <v>150450</v>
      </c>
      <c r="J35" s="8">
        <f t="shared" si="2"/>
        <v>0</v>
      </c>
      <c r="K35" s="8">
        <f>IFERROR(INDEX(T_OrdenesTrabajo[En_Filtro],MATCH(B35,T_OrdenesTrabajo[ID_OT],0)),0)</f>
        <v>1</v>
      </c>
    </row>
    <row r="36" spans="1:11" x14ac:dyDescent="0.25">
      <c r="A36" s="8" t="s">
        <v>1199</v>
      </c>
      <c r="B36" s="8" t="s">
        <v>330</v>
      </c>
      <c r="C36" s="8" t="s">
        <v>1167</v>
      </c>
      <c r="D36" s="8" t="s">
        <v>217</v>
      </c>
      <c r="E36" s="8">
        <v>4</v>
      </c>
      <c r="F36" s="10">
        <v>11800</v>
      </c>
      <c r="G36" s="10">
        <v>24500</v>
      </c>
      <c r="H36" s="10">
        <f t="shared" si="0"/>
        <v>47200</v>
      </c>
      <c r="I36" s="10">
        <f t="shared" si="1"/>
        <v>98000</v>
      </c>
      <c r="J36" s="8">
        <f t="shared" si="2"/>
        <v>0</v>
      </c>
      <c r="K36" s="8">
        <f>IFERROR(INDEX(T_OrdenesTrabajo[En_Filtro],MATCH(B36,T_OrdenesTrabajo[ID_OT],0)),0)</f>
        <v>1</v>
      </c>
    </row>
    <row r="37" spans="1:11" x14ac:dyDescent="0.25">
      <c r="A37" s="8" t="s">
        <v>1200</v>
      </c>
      <c r="B37" s="8" t="s">
        <v>330</v>
      </c>
      <c r="C37" s="8" t="s">
        <v>1167</v>
      </c>
      <c r="D37" s="8" t="s">
        <v>228</v>
      </c>
      <c r="E37" s="8">
        <v>5</v>
      </c>
      <c r="F37" s="10">
        <v>14400</v>
      </c>
      <c r="G37" s="10">
        <v>27800</v>
      </c>
      <c r="H37" s="10">
        <f t="shared" si="0"/>
        <v>72000</v>
      </c>
      <c r="I37" s="10">
        <f t="shared" si="1"/>
        <v>139000</v>
      </c>
      <c r="J37" s="8">
        <f t="shared" si="2"/>
        <v>0</v>
      </c>
      <c r="K37" s="8">
        <f>IFERROR(INDEX(T_OrdenesTrabajo[En_Filtro],MATCH(B37,T_OrdenesTrabajo[ID_OT],0)),0)</f>
        <v>1</v>
      </c>
    </row>
    <row r="38" spans="1:11" x14ac:dyDescent="0.25">
      <c r="A38" s="8" t="s">
        <v>1201</v>
      </c>
      <c r="B38" s="8" t="s">
        <v>335</v>
      </c>
      <c r="C38" s="8" t="s">
        <v>1164</v>
      </c>
      <c r="D38" s="8" t="s">
        <v>33</v>
      </c>
      <c r="E38" s="8">
        <v>2</v>
      </c>
      <c r="F38" s="10">
        <v>216970</v>
      </c>
      <c r="G38" s="10">
        <v>301890</v>
      </c>
      <c r="H38" s="10">
        <f t="shared" si="0"/>
        <v>433940</v>
      </c>
      <c r="I38" s="10">
        <f t="shared" si="1"/>
        <v>603780</v>
      </c>
      <c r="J38" s="8">
        <f t="shared" si="2"/>
        <v>0</v>
      </c>
      <c r="K38" s="8">
        <f>IFERROR(INDEX(T_OrdenesTrabajo[En_Filtro],MATCH(B38,T_OrdenesTrabajo[ID_OT],0)),0)</f>
        <v>1</v>
      </c>
    </row>
    <row r="39" spans="1:11" x14ac:dyDescent="0.25">
      <c r="A39" s="8" t="s">
        <v>1202</v>
      </c>
      <c r="B39" s="8" t="s">
        <v>335</v>
      </c>
      <c r="C39" s="8" t="s">
        <v>1164</v>
      </c>
      <c r="D39" s="8" t="s">
        <v>54</v>
      </c>
      <c r="E39" s="8">
        <v>2</v>
      </c>
      <c r="F39" s="10">
        <v>96040</v>
      </c>
      <c r="G39" s="10">
        <v>142950</v>
      </c>
      <c r="H39" s="10">
        <f t="shared" si="0"/>
        <v>192080</v>
      </c>
      <c r="I39" s="10">
        <f t="shared" si="1"/>
        <v>285900</v>
      </c>
      <c r="J39" s="8">
        <f t="shared" si="2"/>
        <v>0</v>
      </c>
      <c r="K39" s="8">
        <f>IFERROR(INDEX(T_OrdenesTrabajo[En_Filtro],MATCH(B39,T_OrdenesTrabajo[ID_OT],0)),0)</f>
        <v>1</v>
      </c>
    </row>
    <row r="40" spans="1:11" x14ac:dyDescent="0.25">
      <c r="A40" s="8" t="s">
        <v>1203</v>
      </c>
      <c r="B40" s="8" t="s">
        <v>335</v>
      </c>
      <c r="C40" s="8" t="s">
        <v>1167</v>
      </c>
      <c r="D40" s="8" t="s">
        <v>214</v>
      </c>
      <c r="E40" s="8">
        <v>7</v>
      </c>
      <c r="F40" s="10">
        <v>12400</v>
      </c>
      <c r="G40" s="10">
        <v>21800</v>
      </c>
      <c r="H40" s="10">
        <f t="shared" si="0"/>
        <v>86800</v>
      </c>
      <c r="I40" s="10">
        <f t="shared" si="1"/>
        <v>152600</v>
      </c>
      <c r="J40" s="8">
        <f t="shared" si="2"/>
        <v>0</v>
      </c>
      <c r="K40" s="8">
        <f>IFERROR(INDEX(T_OrdenesTrabajo[En_Filtro],MATCH(B40,T_OrdenesTrabajo[ID_OT],0)),0)</f>
        <v>1</v>
      </c>
    </row>
    <row r="41" spans="1:11" x14ac:dyDescent="0.25">
      <c r="A41" s="8" t="s">
        <v>1204</v>
      </c>
      <c r="B41" s="8" t="s">
        <v>340</v>
      </c>
      <c r="C41" s="8" t="s">
        <v>1164</v>
      </c>
      <c r="D41" s="8" t="s">
        <v>13</v>
      </c>
      <c r="E41" s="8">
        <v>1</v>
      </c>
      <c r="F41" s="10">
        <v>31370</v>
      </c>
      <c r="G41" s="10">
        <v>45040</v>
      </c>
      <c r="H41" s="10">
        <f t="shared" si="0"/>
        <v>31370</v>
      </c>
      <c r="I41" s="10">
        <f t="shared" si="1"/>
        <v>45040</v>
      </c>
      <c r="J41" s="8">
        <f t="shared" si="2"/>
        <v>0</v>
      </c>
      <c r="K41" s="8">
        <f>IFERROR(INDEX(T_OrdenesTrabajo[En_Filtro],MATCH(B41,T_OrdenesTrabajo[ID_OT],0)),0)</f>
        <v>1</v>
      </c>
    </row>
    <row r="42" spans="1:11" x14ac:dyDescent="0.25">
      <c r="A42" s="8" t="s">
        <v>1205</v>
      </c>
      <c r="B42" s="8" t="s">
        <v>340</v>
      </c>
      <c r="C42" s="8" t="s">
        <v>1164</v>
      </c>
      <c r="D42" s="8" t="s">
        <v>22</v>
      </c>
      <c r="E42" s="8">
        <v>9</v>
      </c>
      <c r="F42" s="10">
        <v>4290</v>
      </c>
      <c r="G42" s="10">
        <v>5470</v>
      </c>
      <c r="H42" s="10">
        <f t="shared" si="0"/>
        <v>38610</v>
      </c>
      <c r="I42" s="10">
        <f t="shared" si="1"/>
        <v>49230</v>
      </c>
      <c r="J42" s="8">
        <f t="shared" si="2"/>
        <v>0</v>
      </c>
      <c r="K42" s="8">
        <f>IFERROR(INDEX(T_OrdenesTrabajo[En_Filtro],MATCH(B42,T_OrdenesTrabajo[ID_OT],0)),0)</f>
        <v>1</v>
      </c>
    </row>
    <row r="43" spans="1:11" x14ac:dyDescent="0.25">
      <c r="A43" s="8" t="s">
        <v>1206</v>
      </c>
      <c r="B43" s="8" t="s">
        <v>340</v>
      </c>
      <c r="C43" s="8" t="s">
        <v>1167</v>
      </c>
      <c r="D43" s="8" t="s">
        <v>219</v>
      </c>
      <c r="E43" s="8">
        <v>4</v>
      </c>
      <c r="F43" s="10">
        <v>11500</v>
      </c>
      <c r="G43" s="10">
        <v>23800</v>
      </c>
      <c r="H43" s="10">
        <f t="shared" si="0"/>
        <v>46000</v>
      </c>
      <c r="I43" s="10">
        <f t="shared" si="1"/>
        <v>95200</v>
      </c>
      <c r="J43" s="8">
        <f t="shared" si="2"/>
        <v>0</v>
      </c>
      <c r="K43" s="8">
        <f>IFERROR(INDEX(T_OrdenesTrabajo[En_Filtro],MATCH(B43,T_OrdenesTrabajo[ID_OT],0)),0)</f>
        <v>1</v>
      </c>
    </row>
    <row r="44" spans="1:11" x14ac:dyDescent="0.25">
      <c r="A44" s="8" t="s">
        <v>1207</v>
      </c>
      <c r="B44" s="8" t="s">
        <v>340</v>
      </c>
      <c r="C44" s="8" t="s">
        <v>1167</v>
      </c>
      <c r="D44" s="8" t="s">
        <v>219</v>
      </c>
      <c r="E44" s="8">
        <v>3</v>
      </c>
      <c r="F44" s="10">
        <v>12900</v>
      </c>
      <c r="G44" s="10">
        <v>24600</v>
      </c>
      <c r="H44" s="10">
        <f t="shared" si="0"/>
        <v>38700</v>
      </c>
      <c r="I44" s="10">
        <f t="shared" si="1"/>
        <v>73800</v>
      </c>
      <c r="J44" s="8">
        <f t="shared" si="2"/>
        <v>0</v>
      </c>
      <c r="K44" s="8">
        <f>IFERROR(INDEX(T_OrdenesTrabajo[En_Filtro],MATCH(B44,T_OrdenesTrabajo[ID_OT],0)),0)</f>
        <v>1</v>
      </c>
    </row>
    <row r="45" spans="1:11" x14ac:dyDescent="0.25">
      <c r="A45" s="8" t="s">
        <v>1208</v>
      </c>
      <c r="B45" s="8" t="s">
        <v>345</v>
      </c>
      <c r="C45" s="8" t="s">
        <v>1164</v>
      </c>
      <c r="D45" s="8" t="s">
        <v>15</v>
      </c>
      <c r="E45" s="8">
        <v>1</v>
      </c>
      <c r="F45" s="10">
        <v>21410</v>
      </c>
      <c r="G45" s="10">
        <v>26570</v>
      </c>
      <c r="H45" s="10">
        <f t="shared" si="0"/>
        <v>21410</v>
      </c>
      <c r="I45" s="10">
        <f t="shared" si="1"/>
        <v>26570</v>
      </c>
      <c r="J45" s="8">
        <f t="shared" si="2"/>
        <v>0</v>
      </c>
      <c r="K45" s="8">
        <f>IFERROR(INDEX(T_OrdenesTrabajo[En_Filtro],MATCH(B45,T_OrdenesTrabajo[ID_OT],0)),0)</f>
        <v>1</v>
      </c>
    </row>
    <row r="46" spans="1:11" x14ac:dyDescent="0.25">
      <c r="A46" s="8" t="s">
        <v>1209</v>
      </c>
      <c r="B46" s="8" t="s">
        <v>345</v>
      </c>
      <c r="C46" s="8" t="s">
        <v>1164</v>
      </c>
      <c r="D46" s="8" t="s">
        <v>17</v>
      </c>
      <c r="E46" s="8">
        <v>21</v>
      </c>
      <c r="F46" s="10">
        <v>5120</v>
      </c>
      <c r="G46" s="10">
        <v>7420</v>
      </c>
      <c r="H46" s="10">
        <f t="shared" si="0"/>
        <v>107520</v>
      </c>
      <c r="I46" s="10">
        <f t="shared" si="1"/>
        <v>155820</v>
      </c>
      <c r="J46" s="8">
        <f t="shared" si="2"/>
        <v>0</v>
      </c>
      <c r="K46" s="8">
        <f>IFERROR(INDEX(T_OrdenesTrabajo[En_Filtro],MATCH(B46,T_OrdenesTrabajo[ID_OT],0)),0)</f>
        <v>1</v>
      </c>
    </row>
    <row r="47" spans="1:11" x14ac:dyDescent="0.25">
      <c r="A47" s="8" t="s">
        <v>1210</v>
      </c>
      <c r="B47" s="8" t="s">
        <v>345</v>
      </c>
      <c r="C47" s="8" t="s">
        <v>1164</v>
      </c>
      <c r="D47" s="8" t="s">
        <v>65</v>
      </c>
      <c r="E47" s="8">
        <v>2</v>
      </c>
      <c r="F47" s="10">
        <v>22190</v>
      </c>
      <c r="G47" s="10">
        <v>27310</v>
      </c>
      <c r="H47" s="10">
        <f t="shared" si="0"/>
        <v>44380</v>
      </c>
      <c r="I47" s="10">
        <f t="shared" si="1"/>
        <v>54620</v>
      </c>
      <c r="J47" s="8">
        <f t="shared" si="2"/>
        <v>0</v>
      </c>
      <c r="K47" s="8">
        <f>IFERROR(INDEX(T_OrdenesTrabajo[En_Filtro],MATCH(B47,T_OrdenesTrabajo[ID_OT],0)),0)</f>
        <v>1</v>
      </c>
    </row>
    <row r="48" spans="1:11" x14ac:dyDescent="0.25">
      <c r="A48" s="8" t="s">
        <v>1211</v>
      </c>
      <c r="B48" s="8" t="s">
        <v>345</v>
      </c>
      <c r="C48" s="8" t="s">
        <v>1167</v>
      </c>
      <c r="D48" s="8" t="s">
        <v>217</v>
      </c>
      <c r="E48" s="8">
        <v>9</v>
      </c>
      <c r="F48" s="10">
        <v>11600</v>
      </c>
      <c r="G48" s="10">
        <v>22200</v>
      </c>
      <c r="H48" s="10">
        <f t="shared" si="0"/>
        <v>104400</v>
      </c>
      <c r="I48" s="10">
        <f t="shared" si="1"/>
        <v>199800</v>
      </c>
      <c r="J48" s="8">
        <f t="shared" si="2"/>
        <v>0</v>
      </c>
      <c r="K48" s="8">
        <f>IFERROR(INDEX(T_OrdenesTrabajo[En_Filtro],MATCH(B48,T_OrdenesTrabajo[ID_OT],0)),0)</f>
        <v>1</v>
      </c>
    </row>
    <row r="49" spans="1:11" x14ac:dyDescent="0.25">
      <c r="A49" s="8" t="s">
        <v>1212</v>
      </c>
      <c r="B49" s="8" t="s">
        <v>345</v>
      </c>
      <c r="C49" s="8" t="s">
        <v>1167</v>
      </c>
      <c r="D49" s="8" t="s">
        <v>219</v>
      </c>
      <c r="E49" s="8">
        <v>11</v>
      </c>
      <c r="F49" s="10">
        <v>13600</v>
      </c>
      <c r="G49" s="10">
        <v>21800</v>
      </c>
      <c r="H49" s="10">
        <f t="shared" si="0"/>
        <v>149600</v>
      </c>
      <c r="I49" s="10">
        <f t="shared" si="1"/>
        <v>239800</v>
      </c>
      <c r="J49" s="8">
        <f t="shared" si="2"/>
        <v>0</v>
      </c>
      <c r="K49" s="8">
        <f>IFERROR(INDEX(T_OrdenesTrabajo[En_Filtro],MATCH(B49,T_OrdenesTrabajo[ID_OT],0)),0)</f>
        <v>1</v>
      </c>
    </row>
    <row r="50" spans="1:11" x14ac:dyDescent="0.25">
      <c r="A50" s="8" t="s">
        <v>1213</v>
      </c>
      <c r="B50" s="8" t="s">
        <v>350</v>
      </c>
      <c r="C50" s="8" t="s">
        <v>1164</v>
      </c>
      <c r="D50" s="8" t="s">
        <v>15</v>
      </c>
      <c r="E50" s="8">
        <v>3</v>
      </c>
      <c r="F50" s="10">
        <v>22160</v>
      </c>
      <c r="G50" s="10">
        <v>26220</v>
      </c>
      <c r="H50" s="10">
        <f t="shared" si="0"/>
        <v>66480</v>
      </c>
      <c r="I50" s="10">
        <f t="shared" si="1"/>
        <v>78660</v>
      </c>
      <c r="J50" s="8">
        <f t="shared" si="2"/>
        <v>0</v>
      </c>
      <c r="K50" s="8">
        <f>IFERROR(INDEX(T_OrdenesTrabajo[En_Filtro],MATCH(B50,T_OrdenesTrabajo[ID_OT],0)),0)</f>
        <v>1</v>
      </c>
    </row>
    <row r="51" spans="1:11" x14ac:dyDescent="0.25">
      <c r="A51" s="8" t="s">
        <v>1214</v>
      </c>
      <c r="B51" s="8" t="s">
        <v>350</v>
      </c>
      <c r="C51" s="8" t="s">
        <v>1167</v>
      </c>
      <c r="D51" s="8" t="s">
        <v>214</v>
      </c>
      <c r="E51" s="8">
        <v>2</v>
      </c>
      <c r="F51" s="10">
        <v>11700</v>
      </c>
      <c r="G51" s="10">
        <v>22400</v>
      </c>
      <c r="H51" s="10">
        <f t="shared" si="0"/>
        <v>23400</v>
      </c>
      <c r="I51" s="10">
        <f t="shared" si="1"/>
        <v>44800</v>
      </c>
      <c r="J51" s="8">
        <f t="shared" si="2"/>
        <v>0</v>
      </c>
      <c r="K51" s="8">
        <f>IFERROR(INDEX(T_OrdenesTrabajo[En_Filtro],MATCH(B51,T_OrdenesTrabajo[ID_OT],0)),0)</f>
        <v>1</v>
      </c>
    </row>
    <row r="52" spans="1:11" x14ac:dyDescent="0.25">
      <c r="A52" s="8" t="s">
        <v>1215</v>
      </c>
      <c r="B52" s="8" t="s">
        <v>350</v>
      </c>
      <c r="C52" s="8" t="s">
        <v>1167</v>
      </c>
      <c r="D52" s="8" t="s">
        <v>219</v>
      </c>
      <c r="E52" s="8">
        <v>6</v>
      </c>
      <c r="F52" s="10">
        <v>13000</v>
      </c>
      <c r="G52" s="10">
        <v>22300</v>
      </c>
      <c r="H52" s="10">
        <f t="shared" si="0"/>
        <v>78000</v>
      </c>
      <c r="I52" s="10">
        <f t="shared" si="1"/>
        <v>133800</v>
      </c>
      <c r="J52" s="8">
        <f t="shared" si="2"/>
        <v>0</v>
      </c>
      <c r="K52" s="8">
        <f>IFERROR(INDEX(T_OrdenesTrabajo[En_Filtro],MATCH(B52,T_OrdenesTrabajo[ID_OT],0)),0)</f>
        <v>1</v>
      </c>
    </row>
    <row r="53" spans="1:11" x14ac:dyDescent="0.25">
      <c r="A53" s="8" t="s">
        <v>1216</v>
      </c>
      <c r="B53" s="8" t="s">
        <v>355</v>
      </c>
      <c r="C53" s="8" t="s">
        <v>1164</v>
      </c>
      <c r="D53" s="8" t="s">
        <v>47</v>
      </c>
      <c r="E53" s="8">
        <v>3</v>
      </c>
      <c r="F53" s="10">
        <v>10110</v>
      </c>
      <c r="G53" s="10">
        <v>12000</v>
      </c>
      <c r="H53" s="10">
        <f t="shared" si="0"/>
        <v>30330</v>
      </c>
      <c r="I53" s="10">
        <f t="shared" si="1"/>
        <v>36000</v>
      </c>
      <c r="J53" s="8">
        <f t="shared" si="2"/>
        <v>0</v>
      </c>
      <c r="K53" s="8">
        <f>IFERROR(INDEX(T_OrdenesTrabajo[En_Filtro],MATCH(B53,T_OrdenesTrabajo[ID_OT],0)),0)</f>
        <v>1</v>
      </c>
    </row>
    <row r="54" spans="1:11" x14ac:dyDescent="0.25">
      <c r="A54" s="8" t="s">
        <v>1217</v>
      </c>
      <c r="B54" s="8" t="s">
        <v>355</v>
      </c>
      <c r="C54" s="8" t="s">
        <v>1164</v>
      </c>
      <c r="D54" s="8" t="s">
        <v>42</v>
      </c>
      <c r="E54" s="8">
        <v>1</v>
      </c>
      <c r="F54" s="10">
        <v>36780</v>
      </c>
      <c r="G54" s="10">
        <v>44480</v>
      </c>
      <c r="H54" s="10">
        <f t="shared" si="0"/>
        <v>36780</v>
      </c>
      <c r="I54" s="10">
        <f t="shared" si="1"/>
        <v>44480</v>
      </c>
      <c r="J54" s="8">
        <f t="shared" si="2"/>
        <v>0</v>
      </c>
      <c r="K54" s="8">
        <f>IFERROR(INDEX(T_OrdenesTrabajo[En_Filtro],MATCH(B54,T_OrdenesTrabajo[ID_OT],0)),0)</f>
        <v>1</v>
      </c>
    </row>
    <row r="55" spans="1:11" x14ac:dyDescent="0.25">
      <c r="A55" s="8" t="s">
        <v>1218</v>
      </c>
      <c r="B55" s="8" t="s">
        <v>355</v>
      </c>
      <c r="C55" s="8" t="s">
        <v>1167</v>
      </c>
      <c r="D55" s="8" t="s">
        <v>221</v>
      </c>
      <c r="E55" s="8">
        <v>24</v>
      </c>
      <c r="F55" s="10">
        <v>12400</v>
      </c>
      <c r="G55" s="10">
        <v>26900</v>
      </c>
      <c r="H55" s="10">
        <f t="shared" si="0"/>
        <v>297600</v>
      </c>
      <c r="I55" s="10">
        <f t="shared" si="1"/>
        <v>645600</v>
      </c>
      <c r="J55" s="8">
        <f t="shared" si="2"/>
        <v>0</v>
      </c>
      <c r="K55" s="8">
        <f>IFERROR(INDEX(T_OrdenesTrabajo[En_Filtro],MATCH(B55,T_OrdenesTrabajo[ID_OT],0)),0)</f>
        <v>1</v>
      </c>
    </row>
    <row r="56" spans="1:11" x14ac:dyDescent="0.25">
      <c r="A56" s="8" t="s">
        <v>1219</v>
      </c>
      <c r="B56" s="8" t="s">
        <v>360</v>
      </c>
      <c r="C56" s="8" t="s">
        <v>1164</v>
      </c>
      <c r="D56" s="8" t="s">
        <v>20</v>
      </c>
      <c r="E56" s="8">
        <v>20</v>
      </c>
      <c r="F56" s="10">
        <v>6300</v>
      </c>
      <c r="G56" s="10">
        <v>7470</v>
      </c>
      <c r="H56" s="10">
        <f t="shared" si="0"/>
        <v>126000</v>
      </c>
      <c r="I56" s="10">
        <f t="shared" si="1"/>
        <v>149400</v>
      </c>
      <c r="J56" s="8">
        <f t="shared" si="2"/>
        <v>0</v>
      </c>
      <c r="K56" s="8">
        <f>IFERROR(INDEX(T_OrdenesTrabajo[En_Filtro],MATCH(B56,T_OrdenesTrabajo[ID_OT],0)),0)</f>
        <v>1</v>
      </c>
    </row>
    <row r="57" spans="1:11" x14ac:dyDescent="0.25">
      <c r="A57" s="8" t="s">
        <v>1220</v>
      </c>
      <c r="B57" s="8" t="s">
        <v>360</v>
      </c>
      <c r="C57" s="8" t="s">
        <v>1164</v>
      </c>
      <c r="D57" s="8" t="s">
        <v>31</v>
      </c>
      <c r="E57" s="8">
        <v>1</v>
      </c>
      <c r="F57" s="10">
        <v>33280</v>
      </c>
      <c r="G57" s="10">
        <v>47630</v>
      </c>
      <c r="H57" s="10">
        <f t="shared" si="0"/>
        <v>33280</v>
      </c>
      <c r="I57" s="10">
        <f t="shared" si="1"/>
        <v>47630</v>
      </c>
      <c r="J57" s="8">
        <f t="shared" si="2"/>
        <v>0</v>
      </c>
      <c r="K57" s="8">
        <f>IFERROR(INDEX(T_OrdenesTrabajo[En_Filtro],MATCH(B57,T_OrdenesTrabajo[ID_OT],0)),0)</f>
        <v>1</v>
      </c>
    </row>
    <row r="58" spans="1:11" x14ac:dyDescent="0.25">
      <c r="A58" s="8" t="s">
        <v>1221</v>
      </c>
      <c r="B58" s="8" t="s">
        <v>360</v>
      </c>
      <c r="C58" s="8" t="s">
        <v>1167</v>
      </c>
      <c r="D58" s="8" t="s">
        <v>231</v>
      </c>
      <c r="E58" s="8">
        <v>10</v>
      </c>
      <c r="F58" s="10">
        <v>13100</v>
      </c>
      <c r="G58" s="10">
        <v>29000</v>
      </c>
      <c r="H58" s="10">
        <f t="shared" si="0"/>
        <v>131000</v>
      </c>
      <c r="I58" s="10">
        <f t="shared" si="1"/>
        <v>290000</v>
      </c>
      <c r="J58" s="8">
        <f t="shared" si="2"/>
        <v>0</v>
      </c>
      <c r="K58" s="8">
        <f>IFERROR(INDEX(T_OrdenesTrabajo[En_Filtro],MATCH(B58,T_OrdenesTrabajo[ID_OT],0)),0)</f>
        <v>1</v>
      </c>
    </row>
    <row r="59" spans="1:11" x14ac:dyDescent="0.25">
      <c r="A59" s="8" t="s">
        <v>1222</v>
      </c>
      <c r="B59" s="8" t="s">
        <v>365</v>
      </c>
      <c r="C59" s="8" t="s">
        <v>1164</v>
      </c>
      <c r="D59" s="8" t="s">
        <v>15</v>
      </c>
      <c r="E59" s="8">
        <v>2</v>
      </c>
      <c r="F59" s="10">
        <v>21120</v>
      </c>
      <c r="G59" s="10">
        <v>19560</v>
      </c>
      <c r="H59" s="10">
        <f t="shared" si="0"/>
        <v>42240</v>
      </c>
      <c r="I59" s="10">
        <f t="shared" si="1"/>
        <v>39120</v>
      </c>
      <c r="J59" s="8">
        <f t="shared" si="2"/>
        <v>0</v>
      </c>
      <c r="K59" s="8">
        <f>IFERROR(INDEX(T_OrdenesTrabajo[En_Filtro],MATCH(B59,T_OrdenesTrabajo[ID_OT],0)),0)</f>
        <v>1</v>
      </c>
    </row>
    <row r="60" spans="1:11" x14ac:dyDescent="0.25">
      <c r="A60" s="8" t="s">
        <v>1223</v>
      </c>
      <c r="B60" s="8" t="s">
        <v>365</v>
      </c>
      <c r="C60" s="8" t="s">
        <v>1167</v>
      </c>
      <c r="D60" s="8" t="s">
        <v>219</v>
      </c>
      <c r="E60" s="8">
        <v>6</v>
      </c>
      <c r="F60" s="10">
        <v>12600</v>
      </c>
      <c r="G60" s="10">
        <v>15900</v>
      </c>
      <c r="H60" s="10">
        <f t="shared" si="0"/>
        <v>75600</v>
      </c>
      <c r="I60" s="10">
        <f t="shared" si="1"/>
        <v>95400</v>
      </c>
      <c r="J60" s="8">
        <f t="shared" si="2"/>
        <v>0</v>
      </c>
      <c r="K60" s="8">
        <f>IFERROR(INDEX(T_OrdenesTrabajo[En_Filtro],MATCH(B60,T_OrdenesTrabajo[ID_OT],0)),0)</f>
        <v>1</v>
      </c>
    </row>
    <row r="61" spans="1:11" x14ac:dyDescent="0.25">
      <c r="A61" s="8" t="s">
        <v>1224</v>
      </c>
      <c r="B61" s="8" t="s">
        <v>365</v>
      </c>
      <c r="C61" s="8" t="s">
        <v>1167</v>
      </c>
      <c r="D61" s="8" t="s">
        <v>231</v>
      </c>
      <c r="E61" s="8">
        <v>6</v>
      </c>
      <c r="F61" s="10">
        <v>15900</v>
      </c>
      <c r="G61" s="10">
        <v>22900</v>
      </c>
      <c r="H61" s="10">
        <f t="shared" si="0"/>
        <v>95400</v>
      </c>
      <c r="I61" s="10">
        <f t="shared" si="1"/>
        <v>137400</v>
      </c>
      <c r="J61" s="8">
        <f t="shared" si="2"/>
        <v>0</v>
      </c>
      <c r="K61" s="8">
        <f>IFERROR(INDEX(T_OrdenesTrabajo[En_Filtro],MATCH(B61,T_OrdenesTrabajo[ID_OT],0)),0)</f>
        <v>1</v>
      </c>
    </row>
    <row r="62" spans="1:11" x14ac:dyDescent="0.25">
      <c r="A62" s="8" t="s">
        <v>1225</v>
      </c>
      <c r="B62" s="8" t="s">
        <v>370</v>
      </c>
      <c r="C62" s="8" t="s">
        <v>1164</v>
      </c>
      <c r="D62" s="8" t="s">
        <v>20</v>
      </c>
      <c r="E62" s="8">
        <v>15</v>
      </c>
      <c r="F62" s="10">
        <v>6310</v>
      </c>
      <c r="G62" s="10">
        <v>7550</v>
      </c>
      <c r="H62" s="10">
        <f t="shared" si="0"/>
        <v>94650</v>
      </c>
      <c r="I62" s="10">
        <f t="shared" si="1"/>
        <v>113250</v>
      </c>
      <c r="J62" s="8">
        <f t="shared" si="2"/>
        <v>0</v>
      </c>
      <c r="K62" s="8">
        <f>IFERROR(INDEX(T_OrdenesTrabajo[En_Filtro],MATCH(B62,T_OrdenesTrabajo[ID_OT],0)),0)</f>
        <v>1</v>
      </c>
    </row>
    <row r="63" spans="1:11" x14ac:dyDescent="0.25">
      <c r="A63" s="8" t="s">
        <v>1226</v>
      </c>
      <c r="B63" s="8" t="s">
        <v>370</v>
      </c>
      <c r="C63" s="8" t="s">
        <v>1167</v>
      </c>
      <c r="D63" s="8" t="s">
        <v>214</v>
      </c>
      <c r="E63" s="8">
        <v>2</v>
      </c>
      <c r="F63" s="10">
        <v>12700</v>
      </c>
      <c r="G63" s="10">
        <v>22800</v>
      </c>
      <c r="H63" s="10">
        <f t="shared" si="0"/>
        <v>25400</v>
      </c>
      <c r="I63" s="10">
        <f t="shared" si="1"/>
        <v>45600</v>
      </c>
      <c r="J63" s="8">
        <f t="shared" si="2"/>
        <v>0</v>
      </c>
      <c r="K63" s="8">
        <f>IFERROR(INDEX(T_OrdenesTrabajo[En_Filtro],MATCH(B63,T_OrdenesTrabajo[ID_OT],0)),0)</f>
        <v>1</v>
      </c>
    </row>
    <row r="64" spans="1:11" x14ac:dyDescent="0.25">
      <c r="A64" s="8" t="s">
        <v>1227</v>
      </c>
      <c r="B64" s="8" t="s">
        <v>375</v>
      </c>
      <c r="C64" s="8" t="s">
        <v>1164</v>
      </c>
      <c r="D64" s="8" t="s">
        <v>17</v>
      </c>
      <c r="E64" s="8">
        <v>12</v>
      </c>
      <c r="F64" s="10">
        <v>5550</v>
      </c>
      <c r="G64" s="10">
        <v>7120</v>
      </c>
      <c r="H64" s="10">
        <f t="shared" si="0"/>
        <v>66600</v>
      </c>
      <c r="I64" s="10">
        <f t="shared" si="1"/>
        <v>85440</v>
      </c>
      <c r="J64" s="8">
        <f t="shared" si="2"/>
        <v>0</v>
      </c>
      <c r="K64" s="8">
        <f>IFERROR(INDEX(T_OrdenesTrabajo[En_Filtro],MATCH(B64,T_OrdenesTrabajo[ID_OT],0)),0)</f>
        <v>1</v>
      </c>
    </row>
    <row r="65" spans="1:11" x14ac:dyDescent="0.25">
      <c r="A65" s="8" t="s">
        <v>1228</v>
      </c>
      <c r="B65" s="8" t="s">
        <v>375</v>
      </c>
      <c r="C65" s="8" t="s">
        <v>1164</v>
      </c>
      <c r="D65" s="8" t="s">
        <v>9</v>
      </c>
      <c r="E65" s="8">
        <v>1</v>
      </c>
      <c r="F65" s="10">
        <v>13780</v>
      </c>
      <c r="G65" s="10">
        <v>17930</v>
      </c>
      <c r="H65" s="10">
        <f t="shared" si="0"/>
        <v>13780</v>
      </c>
      <c r="I65" s="10">
        <f t="shared" si="1"/>
        <v>17930</v>
      </c>
      <c r="J65" s="8">
        <f t="shared" si="2"/>
        <v>0</v>
      </c>
      <c r="K65" s="8">
        <f>IFERROR(INDEX(T_OrdenesTrabajo[En_Filtro],MATCH(B65,T_OrdenesTrabajo[ID_OT],0)),0)</f>
        <v>1</v>
      </c>
    </row>
    <row r="66" spans="1:11" x14ac:dyDescent="0.25">
      <c r="A66" s="8" t="s">
        <v>1229</v>
      </c>
      <c r="B66" s="8" t="s">
        <v>375</v>
      </c>
      <c r="C66" s="8" t="s">
        <v>1164</v>
      </c>
      <c r="D66" s="8" t="s">
        <v>61</v>
      </c>
      <c r="E66" s="8">
        <v>4</v>
      </c>
      <c r="F66" s="10">
        <v>80870</v>
      </c>
      <c r="G66" s="10">
        <v>104190</v>
      </c>
      <c r="H66" s="10">
        <f t="shared" ref="H66:H129" si="3">IF(OR(ISBLANK(F66),NOT(ISNUMBER(F66))),"",E66*F66)</f>
        <v>323480</v>
      </c>
      <c r="I66" s="10">
        <f t="shared" ref="I66:I129" si="4">IF(OR(ISBLANK(G66),NOT(ISNUMBER(G66))),"",E66*G66)</f>
        <v>416760</v>
      </c>
      <c r="J66" s="8">
        <f t="shared" ref="J66:J129" si="5">IF(AND(ISNUMBER(F66),ISNUMBER(G66)),0,1)</f>
        <v>0</v>
      </c>
      <c r="K66" s="8">
        <f>IFERROR(INDEX(T_OrdenesTrabajo[En_Filtro],MATCH(B66,T_OrdenesTrabajo[ID_OT],0)),0)</f>
        <v>1</v>
      </c>
    </row>
    <row r="67" spans="1:11" x14ac:dyDescent="0.25">
      <c r="A67" s="8" t="s">
        <v>1230</v>
      </c>
      <c r="B67" s="8" t="s">
        <v>375</v>
      </c>
      <c r="C67" s="8" t="s">
        <v>1167</v>
      </c>
      <c r="D67" s="8" t="s">
        <v>219</v>
      </c>
      <c r="E67" s="8">
        <v>6</v>
      </c>
      <c r="F67" s="10">
        <v>11800</v>
      </c>
      <c r="G67" s="10">
        <v>21500</v>
      </c>
      <c r="H67" s="10">
        <f t="shared" si="3"/>
        <v>70800</v>
      </c>
      <c r="I67" s="10">
        <f t="shared" si="4"/>
        <v>129000</v>
      </c>
      <c r="J67" s="8">
        <f t="shared" si="5"/>
        <v>0</v>
      </c>
      <c r="K67" s="8">
        <f>IFERROR(INDEX(T_OrdenesTrabajo[En_Filtro],MATCH(B67,T_OrdenesTrabajo[ID_OT],0)),0)</f>
        <v>1</v>
      </c>
    </row>
    <row r="68" spans="1:11" x14ac:dyDescent="0.25">
      <c r="A68" s="8" t="s">
        <v>1231</v>
      </c>
      <c r="B68" s="8" t="s">
        <v>375</v>
      </c>
      <c r="C68" s="8" t="s">
        <v>1167</v>
      </c>
      <c r="D68" s="8" t="s">
        <v>231</v>
      </c>
      <c r="E68" s="8">
        <v>6</v>
      </c>
      <c r="F68" s="10">
        <v>15000</v>
      </c>
      <c r="G68" s="10">
        <v>28800</v>
      </c>
      <c r="H68" s="10">
        <f t="shared" si="3"/>
        <v>90000</v>
      </c>
      <c r="I68" s="10">
        <f t="shared" si="4"/>
        <v>172800</v>
      </c>
      <c r="J68" s="8">
        <f t="shared" si="5"/>
        <v>0</v>
      </c>
      <c r="K68" s="8">
        <f>IFERROR(INDEX(T_OrdenesTrabajo[En_Filtro],MATCH(B68,T_OrdenesTrabajo[ID_OT],0)),0)</f>
        <v>1</v>
      </c>
    </row>
    <row r="69" spans="1:11" x14ac:dyDescent="0.25">
      <c r="A69" s="8" t="s">
        <v>1232</v>
      </c>
      <c r="B69" s="8" t="s">
        <v>380</v>
      </c>
      <c r="C69" s="8" t="s">
        <v>1164</v>
      </c>
      <c r="D69" s="8" t="s">
        <v>15</v>
      </c>
      <c r="E69" s="8">
        <v>1</v>
      </c>
      <c r="F69" s="10">
        <v>22320</v>
      </c>
      <c r="G69" s="10">
        <v>28140</v>
      </c>
      <c r="H69" s="10">
        <f t="shared" si="3"/>
        <v>22320</v>
      </c>
      <c r="I69" s="10">
        <f t="shared" si="4"/>
        <v>28140</v>
      </c>
      <c r="J69" s="8">
        <f t="shared" si="5"/>
        <v>0</v>
      </c>
      <c r="K69" s="8">
        <f>IFERROR(INDEX(T_OrdenesTrabajo[En_Filtro],MATCH(B69,T_OrdenesTrabajo[ID_OT],0)),0)</f>
        <v>1</v>
      </c>
    </row>
    <row r="70" spans="1:11" x14ac:dyDescent="0.25">
      <c r="A70" s="8" t="s">
        <v>1233</v>
      </c>
      <c r="B70" s="8" t="s">
        <v>380</v>
      </c>
      <c r="C70" s="8" t="s">
        <v>1167</v>
      </c>
      <c r="D70" s="8" t="s">
        <v>214</v>
      </c>
      <c r="E70" s="8">
        <v>14</v>
      </c>
      <c r="F70" s="10">
        <v>11000</v>
      </c>
      <c r="G70" s="10">
        <v>23300</v>
      </c>
      <c r="H70" s="10">
        <f t="shared" si="3"/>
        <v>154000</v>
      </c>
      <c r="I70" s="10">
        <f t="shared" si="4"/>
        <v>326200</v>
      </c>
      <c r="J70" s="8">
        <f t="shared" si="5"/>
        <v>0</v>
      </c>
      <c r="K70" s="8">
        <f>IFERROR(INDEX(T_OrdenesTrabajo[En_Filtro],MATCH(B70,T_OrdenesTrabajo[ID_OT],0)),0)</f>
        <v>1</v>
      </c>
    </row>
    <row r="71" spans="1:11" x14ac:dyDescent="0.25">
      <c r="A71" s="8" t="s">
        <v>1234</v>
      </c>
      <c r="B71" s="8" t="s">
        <v>385</v>
      </c>
      <c r="C71" s="8" t="s">
        <v>1164</v>
      </c>
      <c r="D71" s="8" t="s">
        <v>9</v>
      </c>
      <c r="E71" s="8">
        <v>1</v>
      </c>
      <c r="F71" s="10">
        <v>14300</v>
      </c>
      <c r="G71" s="10">
        <v>20070</v>
      </c>
      <c r="H71" s="10">
        <f t="shared" si="3"/>
        <v>14300</v>
      </c>
      <c r="I71" s="10">
        <f t="shared" si="4"/>
        <v>20070</v>
      </c>
      <c r="J71" s="8">
        <f t="shared" si="5"/>
        <v>0</v>
      </c>
      <c r="K71" s="8">
        <f>IFERROR(INDEX(T_OrdenesTrabajo[En_Filtro],MATCH(B71,T_OrdenesTrabajo[ID_OT],0)),0)</f>
        <v>1</v>
      </c>
    </row>
    <row r="72" spans="1:11" x14ac:dyDescent="0.25">
      <c r="A72" s="8" t="s">
        <v>1235</v>
      </c>
      <c r="B72" s="8" t="s">
        <v>385</v>
      </c>
      <c r="C72" s="8" t="s">
        <v>1164</v>
      </c>
      <c r="D72" s="8" t="s">
        <v>17</v>
      </c>
      <c r="E72" s="8">
        <v>15</v>
      </c>
      <c r="F72" s="10">
        <v>5710</v>
      </c>
      <c r="G72" s="10">
        <v>7950</v>
      </c>
      <c r="H72" s="10">
        <f t="shared" si="3"/>
        <v>85650</v>
      </c>
      <c r="I72" s="10">
        <f t="shared" si="4"/>
        <v>119250</v>
      </c>
      <c r="J72" s="8">
        <f t="shared" si="5"/>
        <v>0</v>
      </c>
      <c r="K72" s="8">
        <f>IFERROR(INDEX(T_OrdenesTrabajo[En_Filtro],MATCH(B72,T_OrdenesTrabajo[ID_OT],0)),0)</f>
        <v>1</v>
      </c>
    </row>
    <row r="73" spans="1:11" x14ac:dyDescent="0.25">
      <c r="A73" s="8" t="s">
        <v>1236</v>
      </c>
      <c r="B73" s="8" t="s">
        <v>385</v>
      </c>
      <c r="C73" s="8" t="s">
        <v>1167</v>
      </c>
      <c r="D73" s="8" t="s">
        <v>217</v>
      </c>
      <c r="E73" s="8">
        <v>13</v>
      </c>
      <c r="F73" s="10">
        <v>12900</v>
      </c>
      <c r="G73" s="10">
        <v>22600</v>
      </c>
      <c r="H73" s="10">
        <f t="shared" si="3"/>
        <v>167700</v>
      </c>
      <c r="I73" s="10">
        <f t="shared" si="4"/>
        <v>293800</v>
      </c>
      <c r="J73" s="8">
        <f t="shared" si="5"/>
        <v>0</v>
      </c>
      <c r="K73" s="8">
        <f>IFERROR(INDEX(T_OrdenesTrabajo[En_Filtro],MATCH(B73,T_OrdenesTrabajo[ID_OT],0)),0)</f>
        <v>1</v>
      </c>
    </row>
    <row r="74" spans="1:11" x14ac:dyDescent="0.25">
      <c r="A74" s="8" t="s">
        <v>1237</v>
      </c>
      <c r="B74" s="8" t="s">
        <v>390</v>
      </c>
      <c r="C74" s="8" t="s">
        <v>1164</v>
      </c>
      <c r="D74" s="8" t="s">
        <v>31</v>
      </c>
      <c r="E74" s="8">
        <v>4</v>
      </c>
      <c r="F74" s="10">
        <v>34100</v>
      </c>
      <c r="G74" s="10">
        <v>46910</v>
      </c>
      <c r="H74" s="10">
        <f t="shared" si="3"/>
        <v>136400</v>
      </c>
      <c r="I74" s="10">
        <f t="shared" si="4"/>
        <v>187640</v>
      </c>
      <c r="J74" s="8">
        <f t="shared" si="5"/>
        <v>0</v>
      </c>
      <c r="K74" s="8">
        <f>IFERROR(INDEX(T_OrdenesTrabajo[En_Filtro],MATCH(B74,T_OrdenesTrabajo[ID_OT],0)),0)</f>
        <v>1</v>
      </c>
    </row>
    <row r="75" spans="1:11" x14ac:dyDescent="0.25">
      <c r="A75" s="8" t="s">
        <v>1238</v>
      </c>
      <c r="B75" s="8" t="s">
        <v>390</v>
      </c>
      <c r="C75" s="8" t="s">
        <v>1164</v>
      </c>
      <c r="D75" s="8" t="s">
        <v>50</v>
      </c>
      <c r="E75" s="8">
        <v>2</v>
      </c>
      <c r="F75" s="10">
        <v>277060</v>
      </c>
      <c r="G75" s="10">
        <v>401090</v>
      </c>
      <c r="H75" s="10">
        <f t="shared" si="3"/>
        <v>554120</v>
      </c>
      <c r="I75" s="10">
        <f t="shared" si="4"/>
        <v>802180</v>
      </c>
      <c r="J75" s="8">
        <f t="shared" si="5"/>
        <v>0</v>
      </c>
      <c r="K75" s="8">
        <f>IFERROR(INDEX(T_OrdenesTrabajo[En_Filtro],MATCH(B75,T_OrdenesTrabajo[ID_OT],0)),0)</f>
        <v>1</v>
      </c>
    </row>
    <row r="76" spans="1:11" x14ac:dyDescent="0.25">
      <c r="A76" s="8" t="s">
        <v>1239</v>
      </c>
      <c r="B76" s="8" t="s">
        <v>390</v>
      </c>
      <c r="C76" s="8" t="s">
        <v>1164</v>
      </c>
      <c r="D76" s="8" t="s">
        <v>35</v>
      </c>
      <c r="E76" s="8">
        <v>3</v>
      </c>
      <c r="F76" s="10">
        <v>20350</v>
      </c>
      <c r="G76" s="10">
        <v>29760</v>
      </c>
      <c r="H76" s="10">
        <f t="shared" si="3"/>
        <v>61050</v>
      </c>
      <c r="I76" s="10">
        <f t="shared" si="4"/>
        <v>89280</v>
      </c>
      <c r="J76" s="8">
        <f t="shared" si="5"/>
        <v>0</v>
      </c>
      <c r="K76" s="8">
        <f>IFERROR(INDEX(T_OrdenesTrabajo[En_Filtro],MATCH(B76,T_OrdenesTrabajo[ID_OT],0)),0)</f>
        <v>1</v>
      </c>
    </row>
    <row r="77" spans="1:11" x14ac:dyDescent="0.25">
      <c r="A77" s="8" t="s">
        <v>1240</v>
      </c>
      <c r="B77" s="8" t="s">
        <v>390</v>
      </c>
      <c r="C77" s="8" t="s">
        <v>1167</v>
      </c>
      <c r="D77" s="8" t="s">
        <v>226</v>
      </c>
      <c r="E77" s="8">
        <v>19</v>
      </c>
      <c r="F77" s="10">
        <v>14500</v>
      </c>
      <c r="G77" s="10">
        <v>24400</v>
      </c>
      <c r="H77" s="10">
        <f t="shared" si="3"/>
        <v>275500</v>
      </c>
      <c r="I77" s="10">
        <f t="shared" si="4"/>
        <v>463600</v>
      </c>
      <c r="J77" s="8">
        <f t="shared" si="5"/>
        <v>0</v>
      </c>
      <c r="K77" s="8">
        <f>IFERROR(INDEX(T_OrdenesTrabajo[En_Filtro],MATCH(B77,T_OrdenesTrabajo[ID_OT],0)),0)</f>
        <v>1</v>
      </c>
    </row>
    <row r="78" spans="1:11" x14ac:dyDescent="0.25">
      <c r="A78" s="8" t="s">
        <v>1241</v>
      </c>
      <c r="B78" s="8" t="s">
        <v>390</v>
      </c>
      <c r="C78" s="8" t="s">
        <v>1167</v>
      </c>
      <c r="D78" s="8" t="s">
        <v>221</v>
      </c>
      <c r="E78" s="8">
        <v>24</v>
      </c>
      <c r="F78" s="10">
        <v>13300</v>
      </c>
      <c r="G78" s="10">
        <v>25500</v>
      </c>
      <c r="H78" s="10">
        <f t="shared" si="3"/>
        <v>319200</v>
      </c>
      <c r="I78" s="10">
        <f t="shared" si="4"/>
        <v>612000</v>
      </c>
      <c r="J78" s="8">
        <f t="shared" si="5"/>
        <v>0</v>
      </c>
      <c r="K78" s="8">
        <f>IFERROR(INDEX(T_OrdenesTrabajo[En_Filtro],MATCH(B78,T_OrdenesTrabajo[ID_OT],0)),0)</f>
        <v>1</v>
      </c>
    </row>
    <row r="79" spans="1:11" x14ac:dyDescent="0.25">
      <c r="A79" s="8" t="s">
        <v>1242</v>
      </c>
      <c r="B79" s="8" t="s">
        <v>395</v>
      </c>
      <c r="C79" s="8" t="s">
        <v>1164</v>
      </c>
      <c r="D79" s="8" t="s">
        <v>54</v>
      </c>
      <c r="E79" s="8">
        <v>2</v>
      </c>
      <c r="F79" s="10">
        <v>90560</v>
      </c>
      <c r="G79" s="10">
        <v>120110</v>
      </c>
      <c r="H79" s="10">
        <f t="shared" si="3"/>
        <v>181120</v>
      </c>
      <c r="I79" s="10">
        <f t="shared" si="4"/>
        <v>240220</v>
      </c>
      <c r="J79" s="8">
        <f t="shared" si="5"/>
        <v>0</v>
      </c>
      <c r="K79" s="8">
        <f>IFERROR(INDEX(T_OrdenesTrabajo[En_Filtro],MATCH(B79,T_OrdenesTrabajo[ID_OT],0)),0)</f>
        <v>1</v>
      </c>
    </row>
    <row r="80" spans="1:11" x14ac:dyDescent="0.25">
      <c r="A80" s="8" t="s">
        <v>1243</v>
      </c>
      <c r="B80" s="8" t="s">
        <v>395</v>
      </c>
      <c r="C80" s="8" t="s">
        <v>1164</v>
      </c>
      <c r="D80" s="8" t="s">
        <v>20</v>
      </c>
      <c r="E80" s="8">
        <v>11</v>
      </c>
      <c r="F80" s="10">
        <v>6230</v>
      </c>
      <c r="G80" s="10">
        <v>7990</v>
      </c>
      <c r="H80" s="10">
        <f t="shared" si="3"/>
        <v>68530</v>
      </c>
      <c r="I80" s="10">
        <f t="shared" si="4"/>
        <v>87890</v>
      </c>
      <c r="J80" s="8">
        <f t="shared" si="5"/>
        <v>0</v>
      </c>
      <c r="K80" s="8">
        <f>IFERROR(INDEX(T_OrdenesTrabajo[En_Filtro],MATCH(B80,T_OrdenesTrabajo[ID_OT],0)),0)</f>
        <v>1</v>
      </c>
    </row>
    <row r="81" spans="1:11" x14ac:dyDescent="0.25">
      <c r="A81" s="8" t="s">
        <v>1244</v>
      </c>
      <c r="B81" s="8" t="s">
        <v>395</v>
      </c>
      <c r="C81" s="8" t="s">
        <v>1167</v>
      </c>
      <c r="D81" s="8" t="s">
        <v>214</v>
      </c>
      <c r="E81" s="8">
        <v>4</v>
      </c>
      <c r="F81" s="10">
        <v>12400</v>
      </c>
      <c r="G81" s="10">
        <v>22700</v>
      </c>
      <c r="H81" s="10">
        <f t="shared" si="3"/>
        <v>49600</v>
      </c>
      <c r="I81" s="10">
        <f t="shared" si="4"/>
        <v>90800</v>
      </c>
      <c r="J81" s="8">
        <f t="shared" si="5"/>
        <v>0</v>
      </c>
      <c r="K81" s="8">
        <f>IFERROR(INDEX(T_OrdenesTrabajo[En_Filtro],MATCH(B81,T_OrdenesTrabajo[ID_OT],0)),0)</f>
        <v>1</v>
      </c>
    </row>
    <row r="82" spans="1:11" x14ac:dyDescent="0.25">
      <c r="A82" s="8" t="s">
        <v>1245</v>
      </c>
      <c r="B82" s="8" t="s">
        <v>395</v>
      </c>
      <c r="C82" s="8" t="s">
        <v>1167</v>
      </c>
      <c r="D82" s="8" t="s">
        <v>214</v>
      </c>
      <c r="E82" s="8">
        <v>6</v>
      </c>
      <c r="F82" s="10">
        <v>12800</v>
      </c>
      <c r="G82" s="10">
        <v>21500</v>
      </c>
      <c r="H82" s="10">
        <f t="shared" si="3"/>
        <v>76800</v>
      </c>
      <c r="I82" s="10">
        <f t="shared" si="4"/>
        <v>129000</v>
      </c>
      <c r="J82" s="8">
        <f t="shared" si="5"/>
        <v>0</v>
      </c>
      <c r="K82" s="8">
        <f>IFERROR(INDEX(T_OrdenesTrabajo[En_Filtro],MATCH(B82,T_OrdenesTrabajo[ID_OT],0)),0)</f>
        <v>1</v>
      </c>
    </row>
    <row r="83" spans="1:11" x14ac:dyDescent="0.25">
      <c r="A83" s="8" t="s">
        <v>1246</v>
      </c>
      <c r="B83" s="8" t="s">
        <v>400</v>
      </c>
      <c r="C83" s="8" t="s">
        <v>1164</v>
      </c>
      <c r="D83" s="8" t="s">
        <v>38</v>
      </c>
      <c r="E83" s="8">
        <v>2</v>
      </c>
      <c r="F83" s="10">
        <v>52970</v>
      </c>
      <c r="G83" s="10">
        <v>73360</v>
      </c>
      <c r="H83" s="10">
        <f t="shared" si="3"/>
        <v>105940</v>
      </c>
      <c r="I83" s="10">
        <f t="shared" si="4"/>
        <v>146720</v>
      </c>
      <c r="J83" s="8">
        <f t="shared" si="5"/>
        <v>0</v>
      </c>
      <c r="K83" s="8">
        <f>IFERROR(INDEX(T_OrdenesTrabajo[En_Filtro],MATCH(B83,T_OrdenesTrabajo[ID_OT],0)),0)</f>
        <v>1</v>
      </c>
    </row>
    <row r="84" spans="1:11" x14ac:dyDescent="0.25">
      <c r="A84" s="8" t="s">
        <v>1247</v>
      </c>
      <c r="B84" s="8" t="s">
        <v>400</v>
      </c>
      <c r="C84" s="8" t="s">
        <v>1167</v>
      </c>
      <c r="D84" s="8" t="s">
        <v>221</v>
      </c>
      <c r="E84" s="8">
        <v>19</v>
      </c>
      <c r="F84" s="10">
        <v>14900</v>
      </c>
      <c r="G84" s="10">
        <v>23000</v>
      </c>
      <c r="H84" s="10">
        <f t="shared" si="3"/>
        <v>283100</v>
      </c>
      <c r="I84" s="10">
        <f t="shared" si="4"/>
        <v>437000</v>
      </c>
      <c r="J84" s="8">
        <f t="shared" si="5"/>
        <v>0</v>
      </c>
      <c r="K84" s="8">
        <f>IFERROR(INDEX(T_OrdenesTrabajo[En_Filtro],MATCH(B84,T_OrdenesTrabajo[ID_OT],0)),0)</f>
        <v>1</v>
      </c>
    </row>
    <row r="85" spans="1:11" x14ac:dyDescent="0.25">
      <c r="A85" s="8" t="s">
        <v>1248</v>
      </c>
      <c r="B85" s="8" t="s">
        <v>405</v>
      </c>
      <c r="C85" s="8" t="s">
        <v>1164</v>
      </c>
      <c r="D85" s="8" t="s">
        <v>65</v>
      </c>
      <c r="E85" s="8">
        <v>3</v>
      </c>
      <c r="F85" s="10">
        <v>23380</v>
      </c>
      <c r="G85" s="10">
        <v>31540</v>
      </c>
      <c r="H85" s="10">
        <f t="shared" si="3"/>
        <v>70140</v>
      </c>
      <c r="I85" s="10">
        <f t="shared" si="4"/>
        <v>94620</v>
      </c>
      <c r="J85" s="8">
        <f t="shared" si="5"/>
        <v>0</v>
      </c>
      <c r="K85" s="8">
        <f>IFERROR(INDEX(T_OrdenesTrabajo[En_Filtro],MATCH(B85,T_OrdenesTrabajo[ID_OT],0)),0)</f>
        <v>1</v>
      </c>
    </row>
    <row r="86" spans="1:11" x14ac:dyDescent="0.25">
      <c r="A86" s="8" t="s">
        <v>1249</v>
      </c>
      <c r="B86" s="8" t="s">
        <v>405</v>
      </c>
      <c r="C86" s="8" t="s">
        <v>1164</v>
      </c>
      <c r="D86" s="8" t="s">
        <v>63</v>
      </c>
      <c r="E86" s="8">
        <v>3</v>
      </c>
      <c r="F86" s="10">
        <v>66540</v>
      </c>
      <c r="G86" s="10">
        <v>84700</v>
      </c>
      <c r="H86" s="10">
        <f t="shared" si="3"/>
        <v>199620</v>
      </c>
      <c r="I86" s="10">
        <f t="shared" si="4"/>
        <v>254100</v>
      </c>
      <c r="J86" s="8">
        <f t="shared" si="5"/>
        <v>0</v>
      </c>
      <c r="K86" s="8">
        <f>IFERROR(INDEX(T_OrdenesTrabajo[En_Filtro],MATCH(B86,T_OrdenesTrabajo[ID_OT],0)),0)</f>
        <v>1</v>
      </c>
    </row>
    <row r="87" spans="1:11" x14ac:dyDescent="0.25">
      <c r="A87" s="8" t="s">
        <v>1250</v>
      </c>
      <c r="B87" s="8" t="s">
        <v>405</v>
      </c>
      <c r="C87" s="8" t="s">
        <v>1164</v>
      </c>
      <c r="D87" s="8" t="s">
        <v>15</v>
      </c>
      <c r="E87" s="8">
        <v>1</v>
      </c>
      <c r="F87" s="10">
        <v>23440</v>
      </c>
      <c r="G87" s="10">
        <v>33460</v>
      </c>
      <c r="H87" s="10">
        <f t="shared" si="3"/>
        <v>23440</v>
      </c>
      <c r="I87" s="10">
        <f t="shared" si="4"/>
        <v>33460</v>
      </c>
      <c r="J87" s="8">
        <f t="shared" si="5"/>
        <v>0</v>
      </c>
      <c r="K87" s="8">
        <f>IFERROR(INDEX(T_OrdenesTrabajo[En_Filtro],MATCH(B87,T_OrdenesTrabajo[ID_OT],0)),0)</f>
        <v>1</v>
      </c>
    </row>
    <row r="88" spans="1:11" x14ac:dyDescent="0.25">
      <c r="A88" s="8" t="s">
        <v>1251</v>
      </c>
      <c r="B88" s="8" t="s">
        <v>405</v>
      </c>
      <c r="C88" s="8" t="s">
        <v>1167</v>
      </c>
      <c r="D88" s="8" t="s">
        <v>219</v>
      </c>
      <c r="E88" s="8">
        <v>8</v>
      </c>
      <c r="F88" s="10">
        <v>11300</v>
      </c>
      <c r="G88" s="10">
        <v>23400</v>
      </c>
      <c r="H88" s="10">
        <f t="shared" si="3"/>
        <v>90400</v>
      </c>
      <c r="I88" s="10">
        <f t="shared" si="4"/>
        <v>187200</v>
      </c>
      <c r="J88" s="8">
        <f t="shared" si="5"/>
        <v>0</v>
      </c>
      <c r="K88" s="8">
        <f>IFERROR(INDEX(T_OrdenesTrabajo[En_Filtro],MATCH(B88,T_OrdenesTrabajo[ID_OT],0)),0)</f>
        <v>1</v>
      </c>
    </row>
    <row r="89" spans="1:11" x14ac:dyDescent="0.25">
      <c r="A89" s="8" t="s">
        <v>1252</v>
      </c>
      <c r="B89" s="8" t="s">
        <v>410</v>
      </c>
      <c r="C89" s="8" t="s">
        <v>1164</v>
      </c>
      <c r="D89" s="8" t="s">
        <v>17</v>
      </c>
      <c r="E89" s="8">
        <v>18</v>
      </c>
      <c r="F89" s="10">
        <v>5440</v>
      </c>
      <c r="G89" s="10">
        <v>7040</v>
      </c>
      <c r="H89" s="10">
        <f t="shared" si="3"/>
        <v>97920</v>
      </c>
      <c r="I89" s="10">
        <f t="shared" si="4"/>
        <v>126720</v>
      </c>
      <c r="J89" s="8">
        <f t="shared" si="5"/>
        <v>0</v>
      </c>
      <c r="K89" s="8">
        <f>IFERROR(INDEX(T_OrdenesTrabajo[En_Filtro],MATCH(B89,T_OrdenesTrabajo[ID_OT],0)),0)</f>
        <v>1</v>
      </c>
    </row>
    <row r="90" spans="1:11" x14ac:dyDescent="0.25">
      <c r="A90" s="8" t="s">
        <v>1253</v>
      </c>
      <c r="B90" s="8" t="s">
        <v>410</v>
      </c>
      <c r="C90" s="8" t="s">
        <v>1164</v>
      </c>
      <c r="D90" s="8" t="s">
        <v>15</v>
      </c>
      <c r="E90" s="8">
        <v>2</v>
      </c>
      <c r="F90" s="10">
        <v>20840</v>
      </c>
      <c r="G90" s="10">
        <v>27350</v>
      </c>
      <c r="H90" s="10">
        <f t="shared" si="3"/>
        <v>41680</v>
      </c>
      <c r="I90" s="10">
        <f t="shared" si="4"/>
        <v>54700</v>
      </c>
      <c r="J90" s="8">
        <f t="shared" si="5"/>
        <v>0</v>
      </c>
      <c r="K90" s="8">
        <f>IFERROR(INDEX(T_OrdenesTrabajo[En_Filtro],MATCH(B90,T_OrdenesTrabajo[ID_OT],0)),0)</f>
        <v>1</v>
      </c>
    </row>
    <row r="91" spans="1:11" x14ac:dyDescent="0.25">
      <c r="A91" s="8" t="s">
        <v>1254</v>
      </c>
      <c r="B91" s="8" t="s">
        <v>410</v>
      </c>
      <c r="C91" s="8" t="s">
        <v>1167</v>
      </c>
      <c r="D91" s="8" t="s">
        <v>219</v>
      </c>
      <c r="E91" s="8">
        <v>4</v>
      </c>
      <c r="F91" s="10">
        <v>13400</v>
      </c>
      <c r="G91" s="10">
        <v>21500</v>
      </c>
      <c r="H91" s="10">
        <f t="shared" si="3"/>
        <v>53600</v>
      </c>
      <c r="I91" s="10">
        <f t="shared" si="4"/>
        <v>86000</v>
      </c>
      <c r="J91" s="8">
        <f t="shared" si="5"/>
        <v>0</v>
      </c>
      <c r="K91" s="8">
        <f>IFERROR(INDEX(T_OrdenesTrabajo[En_Filtro],MATCH(B91,T_OrdenesTrabajo[ID_OT],0)),0)</f>
        <v>1</v>
      </c>
    </row>
    <row r="92" spans="1:11" x14ac:dyDescent="0.25">
      <c r="A92" s="8" t="s">
        <v>1255</v>
      </c>
      <c r="B92" s="8" t="s">
        <v>415</v>
      </c>
      <c r="C92" s="8" t="s">
        <v>1164</v>
      </c>
      <c r="D92" s="8" t="s">
        <v>20</v>
      </c>
      <c r="E92" s="8">
        <v>9</v>
      </c>
      <c r="F92" s="10">
        <v>6090</v>
      </c>
      <c r="G92" s="10">
        <v>5140</v>
      </c>
      <c r="H92" s="10">
        <f t="shared" si="3"/>
        <v>54810</v>
      </c>
      <c r="I92" s="10">
        <f t="shared" si="4"/>
        <v>46260</v>
      </c>
      <c r="J92" s="8">
        <f t="shared" si="5"/>
        <v>0</v>
      </c>
      <c r="K92" s="8">
        <f>IFERROR(INDEX(T_OrdenesTrabajo[En_Filtro],MATCH(B92,T_OrdenesTrabajo[ID_OT],0)),0)</f>
        <v>1</v>
      </c>
    </row>
    <row r="93" spans="1:11" x14ac:dyDescent="0.25">
      <c r="A93" s="8" t="s">
        <v>1256</v>
      </c>
      <c r="B93" s="8" t="s">
        <v>415</v>
      </c>
      <c r="C93" s="8" t="s">
        <v>1164</v>
      </c>
      <c r="D93" s="8" t="s">
        <v>9</v>
      </c>
      <c r="E93" s="8">
        <v>3</v>
      </c>
      <c r="F93" s="10">
        <v>16240</v>
      </c>
      <c r="G93" s="10">
        <v>16600</v>
      </c>
      <c r="H93" s="10">
        <f t="shared" si="3"/>
        <v>48720</v>
      </c>
      <c r="I93" s="10">
        <f t="shared" si="4"/>
        <v>49800</v>
      </c>
      <c r="J93" s="8">
        <f t="shared" si="5"/>
        <v>0</v>
      </c>
      <c r="K93" s="8">
        <f>IFERROR(INDEX(T_OrdenesTrabajo[En_Filtro],MATCH(B93,T_OrdenesTrabajo[ID_OT],0)),0)</f>
        <v>1</v>
      </c>
    </row>
    <row r="94" spans="1:11" x14ac:dyDescent="0.25">
      <c r="A94" s="8" t="s">
        <v>1257</v>
      </c>
      <c r="B94" s="8" t="s">
        <v>415</v>
      </c>
      <c r="C94" s="8" t="s">
        <v>1167</v>
      </c>
      <c r="D94" s="8" t="s">
        <v>219</v>
      </c>
      <c r="E94" s="8">
        <v>5</v>
      </c>
      <c r="F94" s="10">
        <v>12300</v>
      </c>
      <c r="G94" s="10"/>
      <c r="H94" s="10">
        <f t="shared" si="3"/>
        <v>61500</v>
      </c>
      <c r="I94" s="10" t="str">
        <f t="shared" si="4"/>
        <v/>
      </c>
      <c r="J94" s="8">
        <f t="shared" si="5"/>
        <v>1</v>
      </c>
      <c r="K94" s="8">
        <f>IFERROR(INDEX(T_OrdenesTrabajo[En_Filtro],MATCH(B94,T_OrdenesTrabajo[ID_OT],0)),0)</f>
        <v>1</v>
      </c>
    </row>
    <row r="95" spans="1:11" x14ac:dyDescent="0.25">
      <c r="A95" s="8" t="s">
        <v>1258</v>
      </c>
      <c r="B95" s="8" t="s">
        <v>415</v>
      </c>
      <c r="C95" s="8" t="s">
        <v>1167</v>
      </c>
      <c r="D95" s="8" t="s">
        <v>217</v>
      </c>
      <c r="E95" s="8">
        <v>5</v>
      </c>
      <c r="F95" s="10">
        <v>13000</v>
      </c>
      <c r="G95" s="10">
        <v>16800</v>
      </c>
      <c r="H95" s="10">
        <f t="shared" si="3"/>
        <v>65000</v>
      </c>
      <c r="I95" s="10">
        <f t="shared" si="4"/>
        <v>84000</v>
      </c>
      <c r="J95" s="8">
        <f t="shared" si="5"/>
        <v>0</v>
      </c>
      <c r="K95" s="8">
        <f>IFERROR(INDEX(T_OrdenesTrabajo[En_Filtro],MATCH(B95,T_OrdenesTrabajo[ID_OT],0)),0)</f>
        <v>1</v>
      </c>
    </row>
    <row r="96" spans="1:11" x14ac:dyDescent="0.25">
      <c r="A96" s="8" t="s">
        <v>1259</v>
      </c>
      <c r="B96" s="8" t="s">
        <v>420</v>
      </c>
      <c r="C96" s="8" t="s">
        <v>1164</v>
      </c>
      <c r="D96" s="8" t="s">
        <v>13</v>
      </c>
      <c r="E96" s="8">
        <v>2</v>
      </c>
      <c r="F96" s="10">
        <v>28400</v>
      </c>
      <c r="G96" s="10">
        <v>42270</v>
      </c>
      <c r="H96" s="10">
        <f t="shared" si="3"/>
        <v>56800</v>
      </c>
      <c r="I96" s="10">
        <f t="shared" si="4"/>
        <v>84540</v>
      </c>
      <c r="J96" s="8">
        <f t="shared" si="5"/>
        <v>0</v>
      </c>
      <c r="K96" s="8">
        <f>IFERROR(INDEX(T_OrdenesTrabajo[En_Filtro],MATCH(B96,T_OrdenesTrabajo[ID_OT],0)),0)</f>
        <v>1</v>
      </c>
    </row>
    <row r="97" spans="1:11" x14ac:dyDescent="0.25">
      <c r="A97" s="8" t="s">
        <v>1260</v>
      </c>
      <c r="B97" s="8" t="s">
        <v>420</v>
      </c>
      <c r="C97" s="8" t="s">
        <v>1164</v>
      </c>
      <c r="D97" s="8" t="s">
        <v>20</v>
      </c>
      <c r="E97" s="8">
        <v>12</v>
      </c>
      <c r="F97" s="10">
        <v>6010</v>
      </c>
      <c r="G97" s="10">
        <v>7400</v>
      </c>
      <c r="H97" s="10">
        <f t="shared" si="3"/>
        <v>72120</v>
      </c>
      <c r="I97" s="10">
        <f t="shared" si="4"/>
        <v>88800</v>
      </c>
      <c r="J97" s="8">
        <f t="shared" si="5"/>
        <v>0</v>
      </c>
      <c r="K97" s="8">
        <f>IFERROR(INDEX(T_OrdenesTrabajo[En_Filtro],MATCH(B97,T_OrdenesTrabajo[ID_OT],0)),0)</f>
        <v>1</v>
      </c>
    </row>
    <row r="98" spans="1:11" x14ac:dyDescent="0.25">
      <c r="A98" s="8" t="s">
        <v>1261</v>
      </c>
      <c r="B98" s="8" t="s">
        <v>420</v>
      </c>
      <c r="C98" s="8" t="s">
        <v>1164</v>
      </c>
      <c r="D98" s="8" t="s">
        <v>15</v>
      </c>
      <c r="E98" s="8">
        <v>1</v>
      </c>
      <c r="F98" s="10">
        <v>24110</v>
      </c>
      <c r="G98" s="10">
        <v>29940</v>
      </c>
      <c r="H98" s="10">
        <f t="shared" si="3"/>
        <v>24110</v>
      </c>
      <c r="I98" s="10">
        <f t="shared" si="4"/>
        <v>29940</v>
      </c>
      <c r="J98" s="8">
        <f t="shared" si="5"/>
        <v>0</v>
      </c>
      <c r="K98" s="8">
        <f>IFERROR(INDEX(T_OrdenesTrabajo[En_Filtro],MATCH(B98,T_OrdenesTrabajo[ID_OT],0)),0)</f>
        <v>1</v>
      </c>
    </row>
    <row r="99" spans="1:11" x14ac:dyDescent="0.25">
      <c r="A99" s="8" t="s">
        <v>1262</v>
      </c>
      <c r="B99" s="8" t="s">
        <v>420</v>
      </c>
      <c r="C99" s="8" t="s">
        <v>1167</v>
      </c>
      <c r="D99" s="8" t="s">
        <v>214</v>
      </c>
      <c r="E99" s="8">
        <v>2</v>
      </c>
      <c r="F99" s="10">
        <v>13000</v>
      </c>
      <c r="G99" s="10">
        <v>22100</v>
      </c>
      <c r="H99" s="10">
        <f t="shared" si="3"/>
        <v>26000</v>
      </c>
      <c r="I99" s="10">
        <f t="shared" si="4"/>
        <v>44200</v>
      </c>
      <c r="J99" s="8">
        <f t="shared" si="5"/>
        <v>0</v>
      </c>
      <c r="K99" s="8">
        <f>IFERROR(INDEX(T_OrdenesTrabajo[En_Filtro],MATCH(B99,T_OrdenesTrabajo[ID_OT],0)),0)</f>
        <v>1</v>
      </c>
    </row>
    <row r="100" spans="1:11" x14ac:dyDescent="0.25">
      <c r="A100" s="8" t="s">
        <v>1263</v>
      </c>
      <c r="B100" s="8" t="s">
        <v>425</v>
      </c>
      <c r="C100" s="8" t="s">
        <v>1164</v>
      </c>
      <c r="D100" s="8" t="s">
        <v>15</v>
      </c>
      <c r="E100" s="8">
        <v>1</v>
      </c>
      <c r="F100" s="10">
        <v>21500</v>
      </c>
      <c r="G100" s="10">
        <v>26590</v>
      </c>
      <c r="H100" s="10">
        <f t="shared" si="3"/>
        <v>21500</v>
      </c>
      <c r="I100" s="10">
        <f t="shared" si="4"/>
        <v>26590</v>
      </c>
      <c r="J100" s="8">
        <f t="shared" si="5"/>
        <v>0</v>
      </c>
      <c r="K100" s="8">
        <f>IFERROR(INDEX(T_OrdenesTrabajo[En_Filtro],MATCH(B100,T_OrdenesTrabajo[ID_OT],0)),0)</f>
        <v>1</v>
      </c>
    </row>
    <row r="101" spans="1:11" x14ac:dyDescent="0.25">
      <c r="A101" s="8" t="s">
        <v>1264</v>
      </c>
      <c r="B101" s="8" t="s">
        <v>425</v>
      </c>
      <c r="C101" s="8" t="s">
        <v>1167</v>
      </c>
      <c r="D101" s="8" t="s">
        <v>219</v>
      </c>
      <c r="E101" s="8">
        <v>6</v>
      </c>
      <c r="F101" s="10">
        <v>14000</v>
      </c>
      <c r="G101" s="10">
        <v>24200</v>
      </c>
      <c r="H101" s="10">
        <f t="shared" si="3"/>
        <v>84000</v>
      </c>
      <c r="I101" s="10">
        <f t="shared" si="4"/>
        <v>145200</v>
      </c>
      <c r="J101" s="8">
        <f t="shared" si="5"/>
        <v>0</v>
      </c>
      <c r="K101" s="8">
        <f>IFERROR(INDEX(T_OrdenesTrabajo[En_Filtro],MATCH(B101,T_OrdenesTrabajo[ID_OT],0)),0)</f>
        <v>1</v>
      </c>
    </row>
    <row r="102" spans="1:11" x14ac:dyDescent="0.25">
      <c r="A102" s="8" t="s">
        <v>1265</v>
      </c>
      <c r="B102" s="8" t="s">
        <v>430</v>
      </c>
      <c r="C102" s="8" t="s">
        <v>1164</v>
      </c>
      <c r="D102" s="8" t="s">
        <v>31</v>
      </c>
      <c r="E102" s="8">
        <v>1</v>
      </c>
      <c r="F102" s="10">
        <v>33000</v>
      </c>
      <c r="G102" s="10">
        <v>41940</v>
      </c>
      <c r="H102" s="10">
        <f t="shared" si="3"/>
        <v>33000</v>
      </c>
      <c r="I102" s="10">
        <f t="shared" si="4"/>
        <v>41940</v>
      </c>
      <c r="J102" s="8">
        <f t="shared" si="5"/>
        <v>0</v>
      </c>
      <c r="K102" s="8">
        <f>IFERROR(INDEX(T_OrdenesTrabajo[En_Filtro],MATCH(B102,T_OrdenesTrabajo[ID_OT],0)),0)</f>
        <v>1</v>
      </c>
    </row>
    <row r="103" spans="1:11" x14ac:dyDescent="0.25">
      <c r="A103" s="8" t="s">
        <v>1266</v>
      </c>
      <c r="B103" s="8" t="s">
        <v>430</v>
      </c>
      <c r="C103" s="8" t="s">
        <v>1167</v>
      </c>
      <c r="D103" s="8" t="s">
        <v>228</v>
      </c>
      <c r="E103" s="8">
        <v>8</v>
      </c>
      <c r="F103" s="10">
        <v>13300</v>
      </c>
      <c r="G103" s="10">
        <v>27000</v>
      </c>
      <c r="H103" s="10">
        <f t="shared" si="3"/>
        <v>106400</v>
      </c>
      <c r="I103" s="10">
        <f t="shared" si="4"/>
        <v>216000</v>
      </c>
      <c r="J103" s="8">
        <f t="shared" si="5"/>
        <v>0</v>
      </c>
      <c r="K103" s="8">
        <f>IFERROR(INDEX(T_OrdenesTrabajo[En_Filtro],MATCH(B103,T_OrdenesTrabajo[ID_OT],0)),0)</f>
        <v>1</v>
      </c>
    </row>
    <row r="104" spans="1:11" x14ac:dyDescent="0.25">
      <c r="A104" s="8" t="s">
        <v>1267</v>
      </c>
      <c r="B104" s="8" t="s">
        <v>435</v>
      </c>
      <c r="C104" s="8" t="s">
        <v>1164</v>
      </c>
      <c r="D104" s="8" t="s">
        <v>47</v>
      </c>
      <c r="E104" s="8">
        <v>3</v>
      </c>
      <c r="F104" s="10">
        <v>10120</v>
      </c>
      <c r="G104" s="10">
        <v>13330</v>
      </c>
      <c r="H104" s="10">
        <f t="shared" si="3"/>
        <v>30360</v>
      </c>
      <c r="I104" s="10">
        <f t="shared" si="4"/>
        <v>39990</v>
      </c>
      <c r="J104" s="8">
        <f t="shared" si="5"/>
        <v>0</v>
      </c>
      <c r="K104" s="8">
        <f>IFERROR(INDEX(T_OrdenesTrabajo[En_Filtro],MATCH(B104,T_OrdenesTrabajo[ID_OT],0)),0)</f>
        <v>1</v>
      </c>
    </row>
    <row r="105" spans="1:11" x14ac:dyDescent="0.25">
      <c r="A105" s="8" t="s">
        <v>1268</v>
      </c>
      <c r="B105" s="8" t="s">
        <v>435</v>
      </c>
      <c r="C105" s="8" t="s">
        <v>1167</v>
      </c>
      <c r="D105" s="8" t="s">
        <v>224</v>
      </c>
      <c r="E105" s="8">
        <v>16</v>
      </c>
      <c r="F105" s="10">
        <v>13700</v>
      </c>
      <c r="G105" s="10">
        <v>25100</v>
      </c>
      <c r="H105" s="10">
        <f t="shared" si="3"/>
        <v>219200</v>
      </c>
      <c r="I105" s="10">
        <f t="shared" si="4"/>
        <v>401600</v>
      </c>
      <c r="J105" s="8">
        <f t="shared" si="5"/>
        <v>0</v>
      </c>
      <c r="K105" s="8">
        <f>IFERROR(INDEX(T_OrdenesTrabajo[En_Filtro],MATCH(B105,T_OrdenesTrabajo[ID_OT],0)),0)</f>
        <v>1</v>
      </c>
    </row>
    <row r="106" spans="1:11" x14ac:dyDescent="0.25">
      <c r="A106" s="8" t="s">
        <v>1269</v>
      </c>
      <c r="B106" s="8" t="s">
        <v>435</v>
      </c>
      <c r="C106" s="8" t="s">
        <v>1167</v>
      </c>
      <c r="D106" s="8" t="s">
        <v>226</v>
      </c>
      <c r="E106" s="8">
        <v>28</v>
      </c>
      <c r="F106" s="10">
        <v>14700</v>
      </c>
      <c r="G106" s="10">
        <v>26100</v>
      </c>
      <c r="H106" s="10">
        <f t="shared" si="3"/>
        <v>411600</v>
      </c>
      <c r="I106" s="10">
        <f t="shared" si="4"/>
        <v>730800</v>
      </c>
      <c r="J106" s="8">
        <f t="shared" si="5"/>
        <v>0</v>
      </c>
      <c r="K106" s="8">
        <f>IFERROR(INDEX(T_OrdenesTrabajo[En_Filtro],MATCH(B106,T_OrdenesTrabajo[ID_OT],0)),0)</f>
        <v>1</v>
      </c>
    </row>
    <row r="107" spans="1:11" x14ac:dyDescent="0.25">
      <c r="A107" s="8" t="s">
        <v>1270</v>
      </c>
      <c r="B107" s="8" t="s">
        <v>440</v>
      </c>
      <c r="C107" s="8" t="s">
        <v>1164</v>
      </c>
      <c r="D107" s="8" t="s">
        <v>27</v>
      </c>
      <c r="E107" s="8">
        <v>4</v>
      </c>
      <c r="F107" s="10">
        <v>106790</v>
      </c>
      <c r="G107" s="10">
        <v>126320</v>
      </c>
      <c r="H107" s="10">
        <f t="shared" si="3"/>
        <v>427160</v>
      </c>
      <c r="I107" s="10">
        <f t="shared" si="4"/>
        <v>505280</v>
      </c>
      <c r="J107" s="8">
        <f t="shared" si="5"/>
        <v>0</v>
      </c>
      <c r="K107" s="8">
        <f>IFERROR(INDEX(T_OrdenesTrabajo[En_Filtro],MATCH(B107,T_OrdenesTrabajo[ID_OT],0)),0)</f>
        <v>1</v>
      </c>
    </row>
    <row r="108" spans="1:11" x14ac:dyDescent="0.25">
      <c r="A108" s="8" t="s">
        <v>1271</v>
      </c>
      <c r="B108" s="8" t="s">
        <v>440</v>
      </c>
      <c r="C108" s="8" t="s">
        <v>1167</v>
      </c>
      <c r="D108" s="8" t="s">
        <v>217</v>
      </c>
      <c r="E108" s="8">
        <v>20</v>
      </c>
      <c r="F108" s="10">
        <v>13700</v>
      </c>
      <c r="G108" s="10">
        <v>24800</v>
      </c>
      <c r="H108" s="10">
        <f t="shared" si="3"/>
        <v>274000</v>
      </c>
      <c r="I108" s="10">
        <f t="shared" si="4"/>
        <v>496000</v>
      </c>
      <c r="J108" s="8">
        <f t="shared" si="5"/>
        <v>0</v>
      </c>
      <c r="K108" s="8">
        <f>IFERROR(INDEX(T_OrdenesTrabajo[En_Filtro],MATCH(B108,T_OrdenesTrabajo[ID_OT],0)),0)</f>
        <v>1</v>
      </c>
    </row>
    <row r="109" spans="1:11" x14ac:dyDescent="0.25">
      <c r="A109" s="8" t="s">
        <v>1272</v>
      </c>
      <c r="B109" s="8" t="s">
        <v>445</v>
      </c>
      <c r="C109" s="8" t="s">
        <v>1164</v>
      </c>
      <c r="D109" s="8" t="s">
        <v>17</v>
      </c>
      <c r="E109" s="8">
        <v>16</v>
      </c>
      <c r="F109" s="10">
        <v>5620</v>
      </c>
      <c r="G109" s="10">
        <v>8390</v>
      </c>
      <c r="H109" s="10">
        <f t="shared" si="3"/>
        <v>89920</v>
      </c>
      <c r="I109" s="10">
        <f t="shared" si="4"/>
        <v>134240</v>
      </c>
      <c r="J109" s="8">
        <f t="shared" si="5"/>
        <v>0</v>
      </c>
      <c r="K109" s="8">
        <f>IFERROR(INDEX(T_OrdenesTrabajo[En_Filtro],MATCH(B109,T_OrdenesTrabajo[ID_OT],0)),0)</f>
        <v>1</v>
      </c>
    </row>
    <row r="110" spans="1:11" x14ac:dyDescent="0.25">
      <c r="A110" s="8" t="s">
        <v>1273</v>
      </c>
      <c r="B110" s="8" t="s">
        <v>445</v>
      </c>
      <c r="C110" s="8" t="s">
        <v>1164</v>
      </c>
      <c r="D110" s="8" t="s">
        <v>22</v>
      </c>
      <c r="E110" s="8">
        <v>18</v>
      </c>
      <c r="F110" s="10">
        <v>4490</v>
      </c>
      <c r="G110" s="10">
        <v>6530</v>
      </c>
      <c r="H110" s="10">
        <f t="shared" si="3"/>
        <v>80820</v>
      </c>
      <c r="I110" s="10">
        <f t="shared" si="4"/>
        <v>117540</v>
      </c>
      <c r="J110" s="8">
        <f t="shared" si="5"/>
        <v>0</v>
      </c>
      <c r="K110" s="8">
        <f>IFERROR(INDEX(T_OrdenesTrabajo[En_Filtro],MATCH(B110,T_OrdenesTrabajo[ID_OT],0)),0)</f>
        <v>1</v>
      </c>
    </row>
    <row r="111" spans="1:11" x14ac:dyDescent="0.25">
      <c r="A111" s="8" t="s">
        <v>1274</v>
      </c>
      <c r="B111" s="8" t="s">
        <v>445</v>
      </c>
      <c r="C111" s="8" t="s">
        <v>1167</v>
      </c>
      <c r="D111" s="8" t="s">
        <v>217</v>
      </c>
      <c r="E111" s="8">
        <v>3</v>
      </c>
      <c r="F111" s="10">
        <v>13800</v>
      </c>
      <c r="G111" s="10">
        <v>23500</v>
      </c>
      <c r="H111" s="10">
        <f t="shared" si="3"/>
        <v>41400</v>
      </c>
      <c r="I111" s="10">
        <f t="shared" si="4"/>
        <v>70500</v>
      </c>
      <c r="J111" s="8">
        <f t="shared" si="5"/>
        <v>0</v>
      </c>
      <c r="K111" s="8">
        <f>IFERROR(INDEX(T_OrdenesTrabajo[En_Filtro],MATCH(B111,T_OrdenesTrabajo[ID_OT],0)),0)</f>
        <v>1</v>
      </c>
    </row>
    <row r="112" spans="1:11" x14ac:dyDescent="0.25">
      <c r="A112" s="8" t="s">
        <v>1275</v>
      </c>
      <c r="B112" s="8" t="s">
        <v>445</v>
      </c>
      <c r="C112" s="8" t="s">
        <v>1167</v>
      </c>
      <c r="D112" s="8" t="s">
        <v>217</v>
      </c>
      <c r="E112" s="8">
        <v>2</v>
      </c>
      <c r="F112" s="10">
        <v>13100</v>
      </c>
      <c r="G112" s="10">
        <v>23500</v>
      </c>
      <c r="H112" s="10">
        <f t="shared" si="3"/>
        <v>26200</v>
      </c>
      <c r="I112" s="10">
        <f t="shared" si="4"/>
        <v>47000</v>
      </c>
      <c r="J112" s="8">
        <f t="shared" si="5"/>
        <v>0</v>
      </c>
      <c r="K112" s="8">
        <f>IFERROR(INDEX(T_OrdenesTrabajo[En_Filtro],MATCH(B112,T_OrdenesTrabajo[ID_OT],0)),0)</f>
        <v>1</v>
      </c>
    </row>
    <row r="113" spans="1:11" x14ac:dyDescent="0.25">
      <c r="A113" s="8" t="s">
        <v>1276</v>
      </c>
      <c r="B113" s="8" t="s">
        <v>450</v>
      </c>
      <c r="C113" s="8" t="s">
        <v>1164</v>
      </c>
      <c r="D113" s="8" t="s">
        <v>29</v>
      </c>
      <c r="E113" s="8">
        <v>3</v>
      </c>
      <c r="F113" s="10">
        <v>86690</v>
      </c>
      <c r="G113" s="10">
        <v>109650</v>
      </c>
      <c r="H113" s="10">
        <f t="shared" si="3"/>
        <v>260070</v>
      </c>
      <c r="I113" s="10">
        <f t="shared" si="4"/>
        <v>328950</v>
      </c>
      <c r="J113" s="8">
        <f t="shared" si="5"/>
        <v>0</v>
      </c>
      <c r="K113" s="8">
        <f>IFERROR(INDEX(T_OrdenesTrabajo[En_Filtro],MATCH(B113,T_OrdenesTrabajo[ID_OT],0)),0)</f>
        <v>1</v>
      </c>
    </row>
    <row r="114" spans="1:11" x14ac:dyDescent="0.25">
      <c r="A114" s="8" t="s">
        <v>1277</v>
      </c>
      <c r="B114" s="8" t="s">
        <v>450</v>
      </c>
      <c r="C114" s="8" t="s">
        <v>1167</v>
      </c>
      <c r="D114" s="8" t="s">
        <v>224</v>
      </c>
      <c r="E114" s="8">
        <v>16</v>
      </c>
      <c r="F114" s="10">
        <v>14300</v>
      </c>
      <c r="G114" s="10">
        <v>24100</v>
      </c>
      <c r="H114" s="10">
        <f t="shared" si="3"/>
        <v>228800</v>
      </c>
      <c r="I114" s="10">
        <f t="shared" si="4"/>
        <v>385600</v>
      </c>
      <c r="J114" s="8">
        <f t="shared" si="5"/>
        <v>0</v>
      </c>
      <c r="K114" s="8">
        <f>IFERROR(INDEX(T_OrdenesTrabajo[En_Filtro],MATCH(B114,T_OrdenesTrabajo[ID_OT],0)),0)</f>
        <v>1</v>
      </c>
    </row>
    <row r="115" spans="1:11" x14ac:dyDescent="0.25">
      <c r="A115" s="8" t="s">
        <v>1278</v>
      </c>
      <c r="B115" s="8" t="s">
        <v>450</v>
      </c>
      <c r="C115" s="8" t="s">
        <v>1167</v>
      </c>
      <c r="D115" s="8" t="s">
        <v>219</v>
      </c>
      <c r="E115" s="8">
        <v>12</v>
      </c>
      <c r="F115" s="10">
        <v>11800</v>
      </c>
      <c r="G115" s="10">
        <v>22100</v>
      </c>
      <c r="H115" s="10">
        <f t="shared" si="3"/>
        <v>141600</v>
      </c>
      <c r="I115" s="10">
        <f t="shared" si="4"/>
        <v>265200</v>
      </c>
      <c r="J115" s="8">
        <f t="shared" si="5"/>
        <v>0</v>
      </c>
      <c r="K115" s="8">
        <f>IFERROR(INDEX(T_OrdenesTrabajo[En_Filtro],MATCH(B115,T_OrdenesTrabajo[ID_OT],0)),0)</f>
        <v>1</v>
      </c>
    </row>
    <row r="116" spans="1:11" x14ac:dyDescent="0.25">
      <c r="A116" s="8" t="s">
        <v>1279</v>
      </c>
      <c r="B116" s="8" t="s">
        <v>455</v>
      </c>
      <c r="C116" s="8" t="s">
        <v>1164</v>
      </c>
      <c r="D116" s="8" t="s">
        <v>54</v>
      </c>
      <c r="E116" s="8">
        <v>4</v>
      </c>
      <c r="F116" s="10">
        <v>96170</v>
      </c>
      <c r="G116" s="10">
        <v>56280</v>
      </c>
      <c r="H116" s="10">
        <f t="shared" si="3"/>
        <v>384680</v>
      </c>
      <c r="I116" s="10">
        <f t="shared" si="4"/>
        <v>225120</v>
      </c>
      <c r="J116" s="8">
        <f t="shared" si="5"/>
        <v>0</v>
      </c>
      <c r="K116" s="8">
        <f>IFERROR(INDEX(T_OrdenesTrabajo[En_Filtro],MATCH(B116,T_OrdenesTrabajo[ID_OT],0)),0)</f>
        <v>1</v>
      </c>
    </row>
    <row r="117" spans="1:11" x14ac:dyDescent="0.25">
      <c r="A117" s="8" t="s">
        <v>1280</v>
      </c>
      <c r="B117" s="8" t="s">
        <v>455</v>
      </c>
      <c r="C117" s="8" t="s">
        <v>1167</v>
      </c>
      <c r="D117" s="8" t="s">
        <v>214</v>
      </c>
      <c r="E117" s="8">
        <v>4</v>
      </c>
      <c r="F117" s="10">
        <v>12400</v>
      </c>
      <c r="G117" s="10">
        <v>10300</v>
      </c>
      <c r="H117" s="10">
        <f t="shared" si="3"/>
        <v>49600</v>
      </c>
      <c r="I117" s="10">
        <f t="shared" si="4"/>
        <v>41200</v>
      </c>
      <c r="J117" s="8">
        <f t="shared" si="5"/>
        <v>0</v>
      </c>
      <c r="K117" s="8">
        <f>IFERROR(INDEX(T_OrdenesTrabajo[En_Filtro],MATCH(B117,T_OrdenesTrabajo[ID_OT],0)),0)</f>
        <v>1</v>
      </c>
    </row>
    <row r="118" spans="1:11" x14ac:dyDescent="0.25">
      <c r="A118" s="8" t="s">
        <v>1281</v>
      </c>
      <c r="B118" s="8" t="s">
        <v>455</v>
      </c>
      <c r="C118" s="8" t="s">
        <v>1167</v>
      </c>
      <c r="D118" s="8" t="s">
        <v>219</v>
      </c>
      <c r="E118" s="8">
        <v>11</v>
      </c>
      <c r="F118" s="10">
        <v>12600</v>
      </c>
      <c r="G118" s="10">
        <v>11300</v>
      </c>
      <c r="H118" s="10">
        <f t="shared" si="3"/>
        <v>138600</v>
      </c>
      <c r="I118" s="10">
        <f t="shared" si="4"/>
        <v>124300</v>
      </c>
      <c r="J118" s="8">
        <f t="shared" si="5"/>
        <v>0</v>
      </c>
      <c r="K118" s="8">
        <f>IFERROR(INDEX(T_OrdenesTrabajo[En_Filtro],MATCH(B118,T_OrdenesTrabajo[ID_OT],0)),0)</f>
        <v>1</v>
      </c>
    </row>
    <row r="119" spans="1:11" x14ac:dyDescent="0.25">
      <c r="A119" s="8" t="s">
        <v>1282</v>
      </c>
      <c r="B119" s="8" t="s">
        <v>459</v>
      </c>
      <c r="C119" s="8" t="s">
        <v>1164</v>
      </c>
      <c r="D119" s="8" t="s">
        <v>9</v>
      </c>
      <c r="E119" s="8">
        <v>2</v>
      </c>
      <c r="F119" s="10">
        <v>14190</v>
      </c>
      <c r="G119" s="10">
        <v>17640</v>
      </c>
      <c r="H119" s="10">
        <f t="shared" si="3"/>
        <v>28380</v>
      </c>
      <c r="I119" s="10">
        <f t="shared" si="4"/>
        <v>35280</v>
      </c>
      <c r="J119" s="8">
        <f t="shared" si="5"/>
        <v>0</v>
      </c>
      <c r="K119" s="8">
        <f>IFERROR(INDEX(T_OrdenesTrabajo[En_Filtro],MATCH(B119,T_OrdenesTrabajo[ID_OT],0)),0)</f>
        <v>1</v>
      </c>
    </row>
    <row r="120" spans="1:11" x14ac:dyDescent="0.25">
      <c r="A120" s="8" t="s">
        <v>1283</v>
      </c>
      <c r="B120" s="8" t="s">
        <v>459</v>
      </c>
      <c r="C120" s="8" t="s">
        <v>1167</v>
      </c>
      <c r="D120" s="8" t="s">
        <v>217</v>
      </c>
      <c r="E120" s="8">
        <v>4</v>
      </c>
      <c r="F120" s="10">
        <v>11700</v>
      </c>
      <c r="G120" s="10">
        <v>21200</v>
      </c>
      <c r="H120" s="10">
        <f t="shared" si="3"/>
        <v>46800</v>
      </c>
      <c r="I120" s="10">
        <f t="shared" si="4"/>
        <v>84800</v>
      </c>
      <c r="J120" s="8">
        <f t="shared" si="5"/>
        <v>0</v>
      </c>
      <c r="K120" s="8">
        <f>IFERROR(INDEX(T_OrdenesTrabajo[En_Filtro],MATCH(B120,T_OrdenesTrabajo[ID_OT],0)),0)</f>
        <v>1</v>
      </c>
    </row>
    <row r="121" spans="1:11" x14ac:dyDescent="0.25">
      <c r="A121" s="8" t="s">
        <v>1284</v>
      </c>
      <c r="B121" s="8" t="s">
        <v>459</v>
      </c>
      <c r="C121" s="8" t="s">
        <v>1167</v>
      </c>
      <c r="D121" s="8" t="s">
        <v>228</v>
      </c>
      <c r="E121" s="8">
        <v>5</v>
      </c>
      <c r="F121" s="10">
        <v>14500</v>
      </c>
      <c r="G121" s="10">
        <v>26500</v>
      </c>
      <c r="H121" s="10">
        <f t="shared" si="3"/>
        <v>72500</v>
      </c>
      <c r="I121" s="10">
        <f t="shared" si="4"/>
        <v>132500</v>
      </c>
      <c r="J121" s="8">
        <f t="shared" si="5"/>
        <v>0</v>
      </c>
      <c r="K121" s="8">
        <f>IFERROR(INDEX(T_OrdenesTrabajo[En_Filtro],MATCH(B121,T_OrdenesTrabajo[ID_OT],0)),0)</f>
        <v>1</v>
      </c>
    </row>
    <row r="122" spans="1:11" x14ac:dyDescent="0.25">
      <c r="A122" s="8" t="s">
        <v>1285</v>
      </c>
      <c r="B122" s="8" t="s">
        <v>464</v>
      </c>
      <c r="C122" s="8" t="s">
        <v>1164</v>
      </c>
      <c r="D122" s="8" t="s">
        <v>24</v>
      </c>
      <c r="E122" s="8">
        <v>1</v>
      </c>
      <c r="F122" s="10">
        <v>430540</v>
      </c>
      <c r="G122" s="10">
        <v>602310</v>
      </c>
      <c r="H122" s="10">
        <f t="shared" si="3"/>
        <v>430540</v>
      </c>
      <c r="I122" s="10">
        <f t="shared" si="4"/>
        <v>602310</v>
      </c>
      <c r="J122" s="8">
        <f t="shared" si="5"/>
        <v>0</v>
      </c>
      <c r="K122" s="8">
        <f>IFERROR(INDEX(T_OrdenesTrabajo[En_Filtro],MATCH(B122,T_OrdenesTrabajo[ID_OT],0)),0)</f>
        <v>1</v>
      </c>
    </row>
    <row r="123" spans="1:11" x14ac:dyDescent="0.25">
      <c r="A123" s="8" t="s">
        <v>1286</v>
      </c>
      <c r="B123" s="8" t="s">
        <v>464</v>
      </c>
      <c r="C123" s="8" t="s">
        <v>1164</v>
      </c>
      <c r="D123" s="8" t="s">
        <v>31</v>
      </c>
      <c r="E123" s="8">
        <v>1</v>
      </c>
      <c r="F123" s="10">
        <v>32400</v>
      </c>
      <c r="G123" s="10">
        <v>47300</v>
      </c>
      <c r="H123" s="10">
        <f t="shared" si="3"/>
        <v>32400</v>
      </c>
      <c r="I123" s="10">
        <f t="shared" si="4"/>
        <v>47300</v>
      </c>
      <c r="J123" s="8">
        <f t="shared" si="5"/>
        <v>0</v>
      </c>
      <c r="K123" s="8">
        <f>IFERROR(INDEX(T_OrdenesTrabajo[En_Filtro],MATCH(B123,T_OrdenesTrabajo[ID_OT],0)),0)</f>
        <v>1</v>
      </c>
    </row>
    <row r="124" spans="1:11" x14ac:dyDescent="0.25">
      <c r="A124" s="8" t="s">
        <v>1287</v>
      </c>
      <c r="B124" s="8" t="s">
        <v>464</v>
      </c>
      <c r="C124" s="8" t="s">
        <v>1167</v>
      </c>
      <c r="D124" s="8" t="s">
        <v>226</v>
      </c>
      <c r="E124" s="8">
        <v>17</v>
      </c>
      <c r="F124" s="10">
        <v>15000</v>
      </c>
      <c r="G124" s="10">
        <v>26700</v>
      </c>
      <c r="H124" s="10">
        <f t="shared" si="3"/>
        <v>255000</v>
      </c>
      <c r="I124" s="10">
        <f t="shared" si="4"/>
        <v>453900</v>
      </c>
      <c r="J124" s="8">
        <f t="shared" si="5"/>
        <v>0</v>
      </c>
      <c r="K124" s="8">
        <f>IFERROR(INDEX(T_OrdenesTrabajo[En_Filtro],MATCH(B124,T_OrdenesTrabajo[ID_OT],0)),0)</f>
        <v>1</v>
      </c>
    </row>
    <row r="125" spans="1:11" x14ac:dyDescent="0.25">
      <c r="A125" s="8" t="s">
        <v>1288</v>
      </c>
      <c r="B125" s="8" t="s">
        <v>469</v>
      </c>
      <c r="C125" s="8" t="s">
        <v>1164</v>
      </c>
      <c r="D125" s="8" t="s">
        <v>63</v>
      </c>
      <c r="E125" s="8">
        <v>1</v>
      </c>
      <c r="F125" s="10">
        <v>62300</v>
      </c>
      <c r="G125" s="10">
        <v>75880</v>
      </c>
      <c r="H125" s="10">
        <f t="shared" si="3"/>
        <v>62300</v>
      </c>
      <c r="I125" s="10">
        <f t="shared" si="4"/>
        <v>75880</v>
      </c>
      <c r="J125" s="8">
        <f t="shared" si="5"/>
        <v>0</v>
      </c>
      <c r="K125" s="8">
        <f>IFERROR(INDEX(T_OrdenesTrabajo[En_Filtro],MATCH(B125,T_OrdenesTrabajo[ID_OT],0)),0)</f>
        <v>1</v>
      </c>
    </row>
    <row r="126" spans="1:11" x14ac:dyDescent="0.25">
      <c r="A126" s="8" t="s">
        <v>1289</v>
      </c>
      <c r="B126" s="8" t="s">
        <v>469</v>
      </c>
      <c r="C126" s="8" t="s">
        <v>1164</v>
      </c>
      <c r="D126" s="8" t="s">
        <v>35</v>
      </c>
      <c r="E126" s="8">
        <v>3</v>
      </c>
      <c r="F126" s="10">
        <v>19800</v>
      </c>
      <c r="G126" s="10">
        <v>25750</v>
      </c>
      <c r="H126" s="10">
        <f t="shared" si="3"/>
        <v>59400</v>
      </c>
      <c r="I126" s="10">
        <f t="shared" si="4"/>
        <v>77250</v>
      </c>
      <c r="J126" s="8">
        <f t="shared" si="5"/>
        <v>0</v>
      </c>
      <c r="K126" s="8">
        <f>IFERROR(INDEX(T_OrdenesTrabajo[En_Filtro],MATCH(B126,T_OrdenesTrabajo[ID_OT],0)),0)</f>
        <v>1</v>
      </c>
    </row>
    <row r="127" spans="1:11" x14ac:dyDescent="0.25">
      <c r="A127" s="8" t="s">
        <v>1290</v>
      </c>
      <c r="B127" s="8" t="s">
        <v>469</v>
      </c>
      <c r="C127" s="8" t="s">
        <v>1164</v>
      </c>
      <c r="D127" s="8" t="s">
        <v>65</v>
      </c>
      <c r="E127" s="8">
        <v>2</v>
      </c>
      <c r="F127" s="10">
        <v>22890</v>
      </c>
      <c r="G127" s="10">
        <v>28120</v>
      </c>
      <c r="H127" s="10">
        <f t="shared" si="3"/>
        <v>45780</v>
      </c>
      <c r="I127" s="10">
        <f t="shared" si="4"/>
        <v>56240</v>
      </c>
      <c r="J127" s="8">
        <f t="shared" si="5"/>
        <v>0</v>
      </c>
      <c r="K127" s="8">
        <f>IFERROR(INDEX(T_OrdenesTrabajo[En_Filtro],MATCH(B127,T_OrdenesTrabajo[ID_OT],0)),0)</f>
        <v>1</v>
      </c>
    </row>
    <row r="128" spans="1:11" x14ac:dyDescent="0.25">
      <c r="A128" s="8" t="s">
        <v>1291</v>
      </c>
      <c r="B128" s="8" t="s">
        <v>469</v>
      </c>
      <c r="C128" s="8" t="s">
        <v>1167</v>
      </c>
      <c r="D128" s="8" t="s">
        <v>219</v>
      </c>
      <c r="E128" s="8">
        <v>6</v>
      </c>
      <c r="F128" s="10">
        <v>12600</v>
      </c>
      <c r="G128" s="10">
        <v>24600</v>
      </c>
      <c r="H128" s="10">
        <f t="shared" si="3"/>
        <v>75600</v>
      </c>
      <c r="I128" s="10">
        <f t="shared" si="4"/>
        <v>147600</v>
      </c>
      <c r="J128" s="8">
        <f t="shared" si="5"/>
        <v>0</v>
      </c>
      <c r="K128" s="8">
        <f>IFERROR(INDEX(T_OrdenesTrabajo[En_Filtro],MATCH(B128,T_OrdenesTrabajo[ID_OT],0)),0)</f>
        <v>1</v>
      </c>
    </row>
    <row r="129" spans="1:11" x14ac:dyDescent="0.25">
      <c r="A129" s="8" t="s">
        <v>1292</v>
      </c>
      <c r="B129" s="8" t="s">
        <v>469</v>
      </c>
      <c r="C129" s="8" t="s">
        <v>1167</v>
      </c>
      <c r="D129" s="8" t="s">
        <v>231</v>
      </c>
      <c r="E129" s="8">
        <v>14</v>
      </c>
      <c r="F129" s="10">
        <v>13100</v>
      </c>
      <c r="G129" s="10">
        <v>27500</v>
      </c>
      <c r="H129" s="10">
        <f t="shared" si="3"/>
        <v>183400</v>
      </c>
      <c r="I129" s="10">
        <f t="shared" si="4"/>
        <v>385000</v>
      </c>
      <c r="J129" s="8">
        <f t="shared" si="5"/>
        <v>0</v>
      </c>
      <c r="K129" s="8">
        <f>IFERROR(INDEX(T_OrdenesTrabajo[En_Filtro],MATCH(B129,T_OrdenesTrabajo[ID_OT],0)),0)</f>
        <v>1</v>
      </c>
    </row>
    <row r="130" spans="1:11" x14ac:dyDescent="0.25">
      <c r="A130" s="8" t="s">
        <v>1293</v>
      </c>
      <c r="B130" s="8" t="s">
        <v>474</v>
      </c>
      <c r="C130" s="8" t="s">
        <v>1164</v>
      </c>
      <c r="D130" s="8" t="s">
        <v>29</v>
      </c>
      <c r="E130" s="8">
        <v>1</v>
      </c>
      <c r="F130" s="10">
        <v>78250</v>
      </c>
      <c r="G130" s="10">
        <v>103920</v>
      </c>
      <c r="H130" s="10">
        <f t="shared" ref="H130:H193" si="6">IF(OR(ISBLANK(F130),NOT(ISNUMBER(F130))),"",E130*F130)</f>
        <v>78250</v>
      </c>
      <c r="I130" s="10">
        <f t="shared" ref="I130:I193" si="7">IF(OR(ISBLANK(G130),NOT(ISNUMBER(G130))),"",E130*G130)</f>
        <v>103920</v>
      </c>
      <c r="J130" s="8">
        <f t="shared" ref="J130:J193" si="8">IF(AND(ISNUMBER(F130),ISNUMBER(G130)),0,1)</f>
        <v>0</v>
      </c>
      <c r="K130" s="8">
        <f>IFERROR(INDEX(T_OrdenesTrabajo[En_Filtro],MATCH(B130,T_OrdenesTrabajo[ID_OT],0)),0)</f>
        <v>1</v>
      </c>
    </row>
    <row r="131" spans="1:11" x14ac:dyDescent="0.25">
      <c r="A131" s="8" t="s">
        <v>1294</v>
      </c>
      <c r="B131" s="8" t="s">
        <v>474</v>
      </c>
      <c r="C131" s="8" t="s">
        <v>1164</v>
      </c>
      <c r="D131" s="8" t="s">
        <v>38</v>
      </c>
      <c r="E131" s="8">
        <v>1</v>
      </c>
      <c r="F131" s="10">
        <v>53420</v>
      </c>
      <c r="G131" s="10">
        <v>73720</v>
      </c>
      <c r="H131" s="10">
        <f t="shared" si="6"/>
        <v>53420</v>
      </c>
      <c r="I131" s="10">
        <f t="shared" si="7"/>
        <v>73720</v>
      </c>
      <c r="J131" s="8">
        <f t="shared" si="8"/>
        <v>0</v>
      </c>
      <c r="K131" s="8">
        <f>IFERROR(INDEX(T_OrdenesTrabajo[En_Filtro],MATCH(B131,T_OrdenesTrabajo[ID_OT],0)),0)</f>
        <v>1</v>
      </c>
    </row>
    <row r="132" spans="1:11" x14ac:dyDescent="0.25">
      <c r="A132" s="8" t="s">
        <v>1295</v>
      </c>
      <c r="B132" s="8" t="s">
        <v>474</v>
      </c>
      <c r="C132" s="8" t="s">
        <v>1167</v>
      </c>
      <c r="D132" s="8" t="s">
        <v>226</v>
      </c>
      <c r="E132" s="8">
        <v>14</v>
      </c>
      <c r="F132" s="10">
        <v>15000</v>
      </c>
      <c r="G132" s="10">
        <v>24900</v>
      </c>
      <c r="H132" s="10">
        <f t="shared" si="6"/>
        <v>210000</v>
      </c>
      <c r="I132" s="10">
        <f t="shared" si="7"/>
        <v>348600</v>
      </c>
      <c r="J132" s="8">
        <f t="shared" si="8"/>
        <v>0</v>
      </c>
      <c r="K132" s="8">
        <f>IFERROR(INDEX(T_OrdenesTrabajo[En_Filtro],MATCH(B132,T_OrdenesTrabajo[ID_OT],0)),0)</f>
        <v>1</v>
      </c>
    </row>
    <row r="133" spans="1:11" x14ac:dyDescent="0.25">
      <c r="A133" s="8" t="s">
        <v>1296</v>
      </c>
      <c r="B133" s="8" t="s">
        <v>479</v>
      </c>
      <c r="C133" s="8" t="s">
        <v>1164</v>
      </c>
      <c r="D133" s="8" t="s">
        <v>65</v>
      </c>
      <c r="E133" s="8">
        <v>3</v>
      </c>
      <c r="F133" s="10">
        <v>22880</v>
      </c>
      <c r="G133" s="10">
        <v>16840</v>
      </c>
      <c r="H133" s="10">
        <f t="shared" si="6"/>
        <v>68640</v>
      </c>
      <c r="I133" s="10">
        <f t="shared" si="7"/>
        <v>50520</v>
      </c>
      <c r="J133" s="8">
        <f t="shared" si="8"/>
        <v>0</v>
      </c>
      <c r="K133" s="8">
        <f>IFERROR(INDEX(T_OrdenesTrabajo[En_Filtro],MATCH(B133,T_OrdenesTrabajo[ID_OT],0)),0)</f>
        <v>1</v>
      </c>
    </row>
    <row r="134" spans="1:11" x14ac:dyDescent="0.25">
      <c r="A134" s="8" t="s">
        <v>1297</v>
      </c>
      <c r="B134" s="8" t="s">
        <v>479</v>
      </c>
      <c r="C134" s="8" t="s">
        <v>1164</v>
      </c>
      <c r="D134" s="8" t="s">
        <v>57</v>
      </c>
      <c r="E134" s="8">
        <v>2</v>
      </c>
      <c r="F134" s="10">
        <v>121940</v>
      </c>
      <c r="G134" s="10">
        <v>87310</v>
      </c>
      <c r="H134" s="10">
        <f t="shared" si="6"/>
        <v>243880</v>
      </c>
      <c r="I134" s="10">
        <f t="shared" si="7"/>
        <v>174620</v>
      </c>
      <c r="J134" s="8">
        <f t="shared" si="8"/>
        <v>0</v>
      </c>
      <c r="K134" s="8">
        <f>IFERROR(INDEX(T_OrdenesTrabajo[En_Filtro],MATCH(B134,T_OrdenesTrabajo[ID_OT],0)),0)</f>
        <v>1</v>
      </c>
    </row>
    <row r="135" spans="1:11" x14ac:dyDescent="0.25">
      <c r="A135" s="8" t="s">
        <v>1298</v>
      </c>
      <c r="B135" s="8" t="s">
        <v>479</v>
      </c>
      <c r="C135" s="8" t="s">
        <v>1167</v>
      </c>
      <c r="D135" s="8" t="s">
        <v>228</v>
      </c>
      <c r="E135" s="8">
        <v>7</v>
      </c>
      <c r="F135" s="10">
        <v>13400</v>
      </c>
      <c r="G135" s="10">
        <v>14900</v>
      </c>
      <c r="H135" s="10">
        <f t="shared" si="6"/>
        <v>93800</v>
      </c>
      <c r="I135" s="10">
        <f t="shared" si="7"/>
        <v>104300</v>
      </c>
      <c r="J135" s="8">
        <f t="shared" si="8"/>
        <v>0</v>
      </c>
      <c r="K135" s="8">
        <f>IFERROR(INDEX(T_OrdenesTrabajo[En_Filtro],MATCH(B135,T_OrdenesTrabajo[ID_OT],0)),0)</f>
        <v>1</v>
      </c>
    </row>
    <row r="136" spans="1:11" x14ac:dyDescent="0.25">
      <c r="A136" s="8" t="s">
        <v>1299</v>
      </c>
      <c r="B136" s="8" t="s">
        <v>479</v>
      </c>
      <c r="C136" s="8" t="s">
        <v>1167</v>
      </c>
      <c r="D136" s="8" t="s">
        <v>228</v>
      </c>
      <c r="E136" s="8">
        <v>7</v>
      </c>
      <c r="F136" s="10">
        <v>15900</v>
      </c>
      <c r="G136" s="10">
        <v>14800</v>
      </c>
      <c r="H136" s="10">
        <f t="shared" si="6"/>
        <v>111300</v>
      </c>
      <c r="I136" s="10">
        <f t="shared" si="7"/>
        <v>103600</v>
      </c>
      <c r="J136" s="8">
        <f t="shared" si="8"/>
        <v>0</v>
      </c>
      <c r="K136" s="8">
        <f>IFERROR(INDEX(T_OrdenesTrabajo[En_Filtro],MATCH(B136,T_OrdenesTrabajo[ID_OT],0)),0)</f>
        <v>1</v>
      </c>
    </row>
    <row r="137" spans="1:11" x14ac:dyDescent="0.25">
      <c r="A137" s="8" t="s">
        <v>1300</v>
      </c>
      <c r="B137" s="8" t="s">
        <v>484</v>
      </c>
      <c r="C137" s="8" t="s">
        <v>1164</v>
      </c>
      <c r="D137" s="8" t="s">
        <v>15</v>
      </c>
      <c r="E137" s="8">
        <v>2</v>
      </c>
      <c r="F137" s="10">
        <v>21620</v>
      </c>
      <c r="G137" s="10">
        <v>28190</v>
      </c>
      <c r="H137" s="10">
        <f t="shared" si="6"/>
        <v>43240</v>
      </c>
      <c r="I137" s="10">
        <f t="shared" si="7"/>
        <v>56380</v>
      </c>
      <c r="J137" s="8">
        <f t="shared" si="8"/>
        <v>0</v>
      </c>
      <c r="K137" s="8">
        <f>IFERROR(INDEX(T_OrdenesTrabajo[En_Filtro],MATCH(B137,T_OrdenesTrabajo[ID_OT],0)),0)</f>
        <v>1</v>
      </c>
    </row>
    <row r="138" spans="1:11" x14ac:dyDescent="0.25">
      <c r="A138" s="8" t="s">
        <v>1301</v>
      </c>
      <c r="B138" s="8" t="s">
        <v>484</v>
      </c>
      <c r="C138" s="8" t="s">
        <v>1164</v>
      </c>
      <c r="D138" s="8" t="s">
        <v>22</v>
      </c>
      <c r="E138" s="8">
        <v>8</v>
      </c>
      <c r="F138" s="10">
        <v>4190</v>
      </c>
      <c r="G138" s="10">
        <v>5410</v>
      </c>
      <c r="H138" s="10">
        <f t="shared" si="6"/>
        <v>33520</v>
      </c>
      <c r="I138" s="10">
        <f t="shared" si="7"/>
        <v>43280</v>
      </c>
      <c r="J138" s="8">
        <f t="shared" si="8"/>
        <v>0</v>
      </c>
      <c r="K138" s="8">
        <f>IFERROR(INDEX(T_OrdenesTrabajo[En_Filtro],MATCH(B138,T_OrdenesTrabajo[ID_OT],0)),0)</f>
        <v>1</v>
      </c>
    </row>
    <row r="139" spans="1:11" x14ac:dyDescent="0.25">
      <c r="A139" s="8" t="s">
        <v>1302</v>
      </c>
      <c r="B139" s="8" t="s">
        <v>484</v>
      </c>
      <c r="C139" s="8" t="s">
        <v>1167</v>
      </c>
      <c r="D139" s="8" t="s">
        <v>214</v>
      </c>
      <c r="E139" s="8">
        <v>2</v>
      </c>
      <c r="F139" s="10">
        <v>11400</v>
      </c>
      <c r="G139" s="10">
        <v>22100</v>
      </c>
      <c r="H139" s="10">
        <f t="shared" si="6"/>
        <v>22800</v>
      </c>
      <c r="I139" s="10">
        <f t="shared" si="7"/>
        <v>44200</v>
      </c>
      <c r="J139" s="8">
        <f t="shared" si="8"/>
        <v>0</v>
      </c>
      <c r="K139" s="8">
        <f>IFERROR(INDEX(T_OrdenesTrabajo[En_Filtro],MATCH(B139,T_OrdenesTrabajo[ID_OT],0)),0)</f>
        <v>1</v>
      </c>
    </row>
    <row r="140" spans="1:11" x14ac:dyDescent="0.25">
      <c r="A140" s="8" t="s">
        <v>1303</v>
      </c>
      <c r="B140" s="8" t="s">
        <v>489</v>
      </c>
      <c r="C140" s="8" t="s">
        <v>1164</v>
      </c>
      <c r="D140" s="8" t="s">
        <v>9</v>
      </c>
      <c r="E140" s="8">
        <v>3</v>
      </c>
      <c r="F140" s="10">
        <v>14100</v>
      </c>
      <c r="G140" s="10">
        <v>17430</v>
      </c>
      <c r="H140" s="10">
        <f t="shared" si="6"/>
        <v>42300</v>
      </c>
      <c r="I140" s="10">
        <f t="shared" si="7"/>
        <v>52290</v>
      </c>
      <c r="J140" s="8">
        <f t="shared" si="8"/>
        <v>0</v>
      </c>
      <c r="K140" s="8">
        <f>IFERROR(INDEX(T_OrdenesTrabajo[En_Filtro],MATCH(B140,T_OrdenesTrabajo[ID_OT],0)),0)</f>
        <v>1</v>
      </c>
    </row>
    <row r="141" spans="1:11" x14ac:dyDescent="0.25">
      <c r="A141" s="8" t="s">
        <v>1304</v>
      </c>
      <c r="B141" s="8" t="s">
        <v>489</v>
      </c>
      <c r="C141" s="8" t="s">
        <v>1164</v>
      </c>
      <c r="D141" s="8" t="s">
        <v>20</v>
      </c>
      <c r="E141" s="8">
        <v>20</v>
      </c>
      <c r="F141" s="10">
        <v>6010</v>
      </c>
      <c r="G141" s="10">
        <v>8620</v>
      </c>
      <c r="H141" s="10">
        <f t="shared" si="6"/>
        <v>120200</v>
      </c>
      <c r="I141" s="10">
        <f t="shared" si="7"/>
        <v>172400</v>
      </c>
      <c r="J141" s="8">
        <f t="shared" si="8"/>
        <v>0</v>
      </c>
      <c r="K141" s="8">
        <f>IFERROR(INDEX(T_OrdenesTrabajo[En_Filtro],MATCH(B141,T_OrdenesTrabajo[ID_OT],0)),0)</f>
        <v>1</v>
      </c>
    </row>
    <row r="142" spans="1:11" x14ac:dyDescent="0.25">
      <c r="A142" s="8" t="s">
        <v>1305</v>
      </c>
      <c r="B142" s="8" t="s">
        <v>489</v>
      </c>
      <c r="C142" s="8" t="s">
        <v>1164</v>
      </c>
      <c r="D142" s="8" t="s">
        <v>63</v>
      </c>
      <c r="E142" s="8">
        <v>4</v>
      </c>
      <c r="F142" s="10">
        <v>66080</v>
      </c>
      <c r="G142" s="10">
        <v>78950</v>
      </c>
      <c r="H142" s="10">
        <f t="shared" si="6"/>
        <v>264320</v>
      </c>
      <c r="I142" s="10">
        <f t="shared" si="7"/>
        <v>315800</v>
      </c>
      <c r="J142" s="8">
        <f t="shared" si="8"/>
        <v>0</v>
      </c>
      <c r="K142" s="8">
        <f>IFERROR(INDEX(T_OrdenesTrabajo[En_Filtro],MATCH(B142,T_OrdenesTrabajo[ID_OT],0)),0)</f>
        <v>1</v>
      </c>
    </row>
    <row r="143" spans="1:11" x14ac:dyDescent="0.25">
      <c r="A143" s="8" t="s">
        <v>1306</v>
      </c>
      <c r="B143" s="8" t="s">
        <v>489</v>
      </c>
      <c r="C143" s="8" t="s">
        <v>1167</v>
      </c>
      <c r="D143" s="8" t="s">
        <v>214</v>
      </c>
      <c r="E143" s="8">
        <v>4</v>
      </c>
      <c r="F143" s="10">
        <v>13100</v>
      </c>
      <c r="G143" s="10">
        <v>22100</v>
      </c>
      <c r="H143" s="10">
        <f t="shared" si="6"/>
        <v>52400</v>
      </c>
      <c r="I143" s="10">
        <f t="shared" si="7"/>
        <v>88400</v>
      </c>
      <c r="J143" s="8">
        <f t="shared" si="8"/>
        <v>0</v>
      </c>
      <c r="K143" s="8">
        <f>IFERROR(INDEX(T_OrdenesTrabajo[En_Filtro],MATCH(B143,T_OrdenesTrabajo[ID_OT],0)),0)</f>
        <v>1</v>
      </c>
    </row>
    <row r="144" spans="1:11" x14ac:dyDescent="0.25">
      <c r="A144" s="8" t="s">
        <v>1307</v>
      </c>
      <c r="B144" s="8" t="s">
        <v>489</v>
      </c>
      <c r="C144" s="8" t="s">
        <v>1167</v>
      </c>
      <c r="D144" s="8" t="s">
        <v>214</v>
      </c>
      <c r="E144" s="8">
        <v>5</v>
      </c>
      <c r="F144" s="10">
        <v>13500</v>
      </c>
      <c r="G144" s="10">
        <v>21300</v>
      </c>
      <c r="H144" s="10">
        <f t="shared" si="6"/>
        <v>67500</v>
      </c>
      <c r="I144" s="10">
        <f t="shared" si="7"/>
        <v>106500</v>
      </c>
      <c r="J144" s="8">
        <f t="shared" si="8"/>
        <v>0</v>
      </c>
      <c r="K144" s="8">
        <f>IFERROR(INDEX(T_OrdenesTrabajo[En_Filtro],MATCH(B144,T_OrdenesTrabajo[ID_OT],0)),0)</f>
        <v>1</v>
      </c>
    </row>
    <row r="145" spans="1:11" x14ac:dyDescent="0.25">
      <c r="A145" s="8" t="s">
        <v>1308</v>
      </c>
      <c r="B145" s="8" t="s">
        <v>494</v>
      </c>
      <c r="C145" s="8" t="s">
        <v>1164</v>
      </c>
      <c r="D145" s="8" t="s">
        <v>63</v>
      </c>
      <c r="E145" s="8">
        <v>4</v>
      </c>
      <c r="F145" s="10">
        <v>64770</v>
      </c>
      <c r="G145" s="10">
        <v>85830</v>
      </c>
      <c r="H145" s="10">
        <f t="shared" si="6"/>
        <v>259080</v>
      </c>
      <c r="I145" s="10">
        <f t="shared" si="7"/>
        <v>343320</v>
      </c>
      <c r="J145" s="8">
        <f t="shared" si="8"/>
        <v>0</v>
      </c>
      <c r="K145" s="8">
        <f>IFERROR(INDEX(T_OrdenesTrabajo[En_Filtro],MATCH(B145,T_OrdenesTrabajo[ID_OT],0)),0)</f>
        <v>1</v>
      </c>
    </row>
    <row r="146" spans="1:11" x14ac:dyDescent="0.25">
      <c r="A146" s="8" t="s">
        <v>1309</v>
      </c>
      <c r="B146" s="8" t="s">
        <v>494</v>
      </c>
      <c r="C146" s="8" t="s">
        <v>1167</v>
      </c>
      <c r="D146" s="8" t="s">
        <v>217</v>
      </c>
      <c r="E146" s="8">
        <v>7</v>
      </c>
      <c r="F146" s="10">
        <v>11600</v>
      </c>
      <c r="G146" s="10">
        <v>22900</v>
      </c>
      <c r="H146" s="10">
        <f t="shared" si="6"/>
        <v>81200</v>
      </c>
      <c r="I146" s="10">
        <f t="shared" si="7"/>
        <v>160300</v>
      </c>
      <c r="J146" s="8">
        <f t="shared" si="8"/>
        <v>0</v>
      </c>
      <c r="K146" s="8">
        <f>IFERROR(INDEX(T_OrdenesTrabajo[En_Filtro],MATCH(B146,T_OrdenesTrabajo[ID_OT],0)),0)</f>
        <v>1</v>
      </c>
    </row>
    <row r="147" spans="1:11" x14ac:dyDescent="0.25">
      <c r="A147" s="8" t="s">
        <v>1310</v>
      </c>
      <c r="B147" s="8" t="s">
        <v>499</v>
      </c>
      <c r="C147" s="8" t="s">
        <v>1164</v>
      </c>
      <c r="D147" s="8" t="s">
        <v>57</v>
      </c>
      <c r="E147" s="8">
        <v>4</v>
      </c>
      <c r="F147" s="10">
        <v>119900</v>
      </c>
      <c r="G147" s="10">
        <v>167490</v>
      </c>
      <c r="H147" s="10">
        <f t="shared" si="6"/>
        <v>479600</v>
      </c>
      <c r="I147" s="10">
        <f t="shared" si="7"/>
        <v>669960</v>
      </c>
      <c r="J147" s="8">
        <f t="shared" si="8"/>
        <v>0</v>
      </c>
      <c r="K147" s="8">
        <f>IFERROR(INDEX(T_OrdenesTrabajo[En_Filtro],MATCH(B147,T_OrdenesTrabajo[ID_OT],0)),0)</f>
        <v>1</v>
      </c>
    </row>
    <row r="148" spans="1:11" x14ac:dyDescent="0.25">
      <c r="A148" s="8" t="s">
        <v>1311</v>
      </c>
      <c r="B148" s="8" t="s">
        <v>499</v>
      </c>
      <c r="C148" s="8" t="s">
        <v>1167</v>
      </c>
      <c r="D148" s="8" t="s">
        <v>219</v>
      </c>
      <c r="E148" s="8">
        <v>10</v>
      </c>
      <c r="F148" s="10">
        <v>11200</v>
      </c>
      <c r="G148" s="10">
        <v>23900</v>
      </c>
      <c r="H148" s="10">
        <f t="shared" si="6"/>
        <v>112000</v>
      </c>
      <c r="I148" s="10">
        <f t="shared" si="7"/>
        <v>239000</v>
      </c>
      <c r="J148" s="8">
        <f t="shared" si="8"/>
        <v>0</v>
      </c>
      <c r="K148" s="8">
        <f>IFERROR(INDEX(T_OrdenesTrabajo[En_Filtro],MATCH(B148,T_OrdenesTrabajo[ID_OT],0)),0)</f>
        <v>1</v>
      </c>
    </row>
    <row r="149" spans="1:11" x14ac:dyDescent="0.25">
      <c r="A149" s="8" t="s">
        <v>1312</v>
      </c>
      <c r="B149" s="8" t="s">
        <v>502</v>
      </c>
      <c r="C149" s="8" t="s">
        <v>1164</v>
      </c>
      <c r="D149" s="8" t="s">
        <v>9</v>
      </c>
      <c r="E149" s="8">
        <v>1</v>
      </c>
      <c r="F149" s="10">
        <v>13790</v>
      </c>
      <c r="G149" s="10">
        <v>19710</v>
      </c>
      <c r="H149" s="10">
        <f t="shared" si="6"/>
        <v>13790</v>
      </c>
      <c r="I149" s="10">
        <f t="shared" si="7"/>
        <v>19710</v>
      </c>
      <c r="J149" s="8">
        <f t="shared" si="8"/>
        <v>0</v>
      </c>
      <c r="K149" s="8">
        <f>IFERROR(INDEX(T_OrdenesTrabajo[En_Filtro],MATCH(B149,T_OrdenesTrabajo[ID_OT],0)),0)</f>
        <v>1</v>
      </c>
    </row>
    <row r="150" spans="1:11" x14ac:dyDescent="0.25">
      <c r="A150" s="8" t="s">
        <v>1313</v>
      </c>
      <c r="B150" s="8" t="s">
        <v>502</v>
      </c>
      <c r="C150" s="8" t="s">
        <v>1164</v>
      </c>
      <c r="D150" s="8" t="s">
        <v>61</v>
      </c>
      <c r="E150" s="8">
        <v>4</v>
      </c>
      <c r="F150" s="10">
        <v>80840</v>
      </c>
      <c r="G150" s="10">
        <v>96150</v>
      </c>
      <c r="H150" s="10">
        <f t="shared" si="6"/>
        <v>323360</v>
      </c>
      <c r="I150" s="10">
        <f t="shared" si="7"/>
        <v>384600</v>
      </c>
      <c r="J150" s="8">
        <f t="shared" si="8"/>
        <v>0</v>
      </c>
      <c r="K150" s="8">
        <f>IFERROR(INDEX(T_OrdenesTrabajo[En_Filtro],MATCH(B150,T_OrdenesTrabajo[ID_OT],0)),0)</f>
        <v>1</v>
      </c>
    </row>
    <row r="151" spans="1:11" x14ac:dyDescent="0.25">
      <c r="A151" s="8" t="s">
        <v>1314</v>
      </c>
      <c r="B151" s="8" t="s">
        <v>502</v>
      </c>
      <c r="C151" s="8" t="s">
        <v>1167</v>
      </c>
      <c r="D151" s="8" t="s">
        <v>228</v>
      </c>
      <c r="E151" s="8">
        <v>11</v>
      </c>
      <c r="F151" s="10">
        <v>15800</v>
      </c>
      <c r="G151" s="10">
        <v>29100</v>
      </c>
      <c r="H151" s="10">
        <f t="shared" si="6"/>
        <v>173800</v>
      </c>
      <c r="I151" s="10">
        <f t="shared" si="7"/>
        <v>320100</v>
      </c>
      <c r="J151" s="8">
        <f t="shared" si="8"/>
        <v>0</v>
      </c>
      <c r="K151" s="8">
        <f>IFERROR(INDEX(T_OrdenesTrabajo[En_Filtro],MATCH(B151,T_OrdenesTrabajo[ID_OT],0)),0)</f>
        <v>1</v>
      </c>
    </row>
    <row r="152" spans="1:11" x14ac:dyDescent="0.25">
      <c r="A152" s="8" t="s">
        <v>1315</v>
      </c>
      <c r="B152" s="8" t="s">
        <v>502</v>
      </c>
      <c r="C152" s="8" t="s">
        <v>1167</v>
      </c>
      <c r="D152" s="8" t="s">
        <v>228</v>
      </c>
      <c r="E152" s="8">
        <v>12</v>
      </c>
      <c r="F152" s="10">
        <v>13900</v>
      </c>
      <c r="G152" s="10">
        <v>30900</v>
      </c>
      <c r="H152" s="10">
        <f t="shared" si="6"/>
        <v>166800</v>
      </c>
      <c r="I152" s="10">
        <f t="shared" si="7"/>
        <v>370800</v>
      </c>
      <c r="J152" s="8">
        <f t="shared" si="8"/>
        <v>0</v>
      </c>
      <c r="K152" s="8">
        <f>IFERROR(INDEX(T_OrdenesTrabajo[En_Filtro],MATCH(B152,T_OrdenesTrabajo[ID_OT],0)),0)</f>
        <v>1</v>
      </c>
    </row>
    <row r="153" spans="1:11" x14ac:dyDescent="0.25">
      <c r="A153" s="8" t="s">
        <v>1316</v>
      </c>
      <c r="B153" s="8" t="s">
        <v>507</v>
      </c>
      <c r="C153" s="8" t="s">
        <v>1164</v>
      </c>
      <c r="D153" s="8" t="s">
        <v>35</v>
      </c>
      <c r="E153" s="8">
        <v>2</v>
      </c>
      <c r="F153" s="10">
        <v>20410</v>
      </c>
      <c r="G153" s="10">
        <v>27010</v>
      </c>
      <c r="H153" s="10">
        <f t="shared" si="6"/>
        <v>40820</v>
      </c>
      <c r="I153" s="10">
        <f t="shared" si="7"/>
        <v>54020</v>
      </c>
      <c r="J153" s="8">
        <f t="shared" si="8"/>
        <v>0</v>
      </c>
      <c r="K153" s="8">
        <f>IFERROR(INDEX(T_OrdenesTrabajo[En_Filtro],MATCH(B153,T_OrdenesTrabajo[ID_OT],0)),0)</f>
        <v>1</v>
      </c>
    </row>
    <row r="154" spans="1:11" x14ac:dyDescent="0.25">
      <c r="A154" s="8" t="s">
        <v>1317</v>
      </c>
      <c r="B154" s="8" t="s">
        <v>507</v>
      </c>
      <c r="C154" s="8" t="s">
        <v>1167</v>
      </c>
      <c r="D154" s="8" t="s">
        <v>226</v>
      </c>
      <c r="E154" s="8">
        <v>17</v>
      </c>
      <c r="F154" s="10">
        <v>12900</v>
      </c>
      <c r="G154" s="10">
        <v>25600</v>
      </c>
      <c r="H154" s="10">
        <f t="shared" si="6"/>
        <v>219300</v>
      </c>
      <c r="I154" s="10">
        <f t="shared" si="7"/>
        <v>435200</v>
      </c>
      <c r="J154" s="8">
        <f t="shared" si="8"/>
        <v>0</v>
      </c>
      <c r="K154" s="8">
        <f>IFERROR(INDEX(T_OrdenesTrabajo[En_Filtro],MATCH(B154,T_OrdenesTrabajo[ID_OT],0)),0)</f>
        <v>1</v>
      </c>
    </row>
    <row r="155" spans="1:11" x14ac:dyDescent="0.25">
      <c r="A155" s="8" t="s">
        <v>1318</v>
      </c>
      <c r="B155" s="8" t="s">
        <v>512</v>
      </c>
      <c r="C155" s="8" t="s">
        <v>1164</v>
      </c>
      <c r="D155" s="8" t="s">
        <v>54</v>
      </c>
      <c r="E155" s="8">
        <v>2</v>
      </c>
      <c r="F155" s="10">
        <v>92510</v>
      </c>
      <c r="G155" s="10">
        <v>137650</v>
      </c>
      <c r="H155" s="10">
        <f t="shared" si="6"/>
        <v>185020</v>
      </c>
      <c r="I155" s="10">
        <f t="shared" si="7"/>
        <v>275300</v>
      </c>
      <c r="J155" s="8">
        <f t="shared" si="8"/>
        <v>0</v>
      </c>
      <c r="K155" s="8">
        <f>IFERROR(INDEX(T_OrdenesTrabajo[En_Filtro],MATCH(B155,T_OrdenesTrabajo[ID_OT],0)),0)</f>
        <v>1</v>
      </c>
    </row>
    <row r="156" spans="1:11" x14ac:dyDescent="0.25">
      <c r="A156" s="8" t="s">
        <v>1319</v>
      </c>
      <c r="B156" s="8" t="s">
        <v>512</v>
      </c>
      <c r="C156" s="8" t="s">
        <v>1167</v>
      </c>
      <c r="D156" s="8" t="s">
        <v>231</v>
      </c>
      <c r="E156" s="8">
        <v>5</v>
      </c>
      <c r="F156" s="10">
        <v>15000</v>
      </c>
      <c r="G156" s="10">
        <v>30500</v>
      </c>
      <c r="H156" s="10">
        <f t="shared" si="6"/>
        <v>75000</v>
      </c>
      <c r="I156" s="10">
        <f t="shared" si="7"/>
        <v>152500</v>
      </c>
      <c r="J156" s="8">
        <f t="shared" si="8"/>
        <v>0</v>
      </c>
      <c r="K156" s="8">
        <f>IFERROR(INDEX(T_OrdenesTrabajo[En_Filtro],MATCH(B156,T_OrdenesTrabajo[ID_OT],0)),0)</f>
        <v>1</v>
      </c>
    </row>
    <row r="157" spans="1:11" x14ac:dyDescent="0.25">
      <c r="A157" s="8" t="s">
        <v>1320</v>
      </c>
      <c r="B157" s="8" t="s">
        <v>517</v>
      </c>
      <c r="C157" s="8" t="s">
        <v>1164</v>
      </c>
      <c r="D157" s="8" t="s">
        <v>61</v>
      </c>
      <c r="E157" s="8">
        <v>1</v>
      </c>
      <c r="F157" s="10">
        <v>81350</v>
      </c>
      <c r="G157" s="10">
        <v>119270</v>
      </c>
      <c r="H157" s="10">
        <f t="shared" si="6"/>
        <v>81350</v>
      </c>
      <c r="I157" s="10">
        <f t="shared" si="7"/>
        <v>119270</v>
      </c>
      <c r="J157" s="8">
        <f t="shared" si="8"/>
        <v>0</v>
      </c>
      <c r="K157" s="8">
        <f>IFERROR(INDEX(T_OrdenesTrabajo[En_Filtro],MATCH(B157,T_OrdenesTrabajo[ID_OT],0)),0)</f>
        <v>1</v>
      </c>
    </row>
    <row r="158" spans="1:11" x14ac:dyDescent="0.25">
      <c r="A158" s="8" t="s">
        <v>1321</v>
      </c>
      <c r="B158" s="8" t="s">
        <v>517</v>
      </c>
      <c r="C158" s="8" t="s">
        <v>1164</v>
      </c>
      <c r="D158" s="8" t="s">
        <v>54</v>
      </c>
      <c r="E158" s="8">
        <v>1</v>
      </c>
      <c r="F158" s="10">
        <v>85720</v>
      </c>
      <c r="G158" s="10">
        <v>111430</v>
      </c>
      <c r="H158" s="10">
        <f t="shared" si="6"/>
        <v>85720</v>
      </c>
      <c r="I158" s="10">
        <f t="shared" si="7"/>
        <v>111430</v>
      </c>
      <c r="J158" s="8">
        <f t="shared" si="8"/>
        <v>0</v>
      </c>
      <c r="K158" s="8">
        <f>IFERROR(INDEX(T_OrdenesTrabajo[En_Filtro],MATCH(B158,T_OrdenesTrabajo[ID_OT],0)),0)</f>
        <v>1</v>
      </c>
    </row>
    <row r="159" spans="1:11" x14ac:dyDescent="0.25">
      <c r="A159" s="8" t="s">
        <v>1322</v>
      </c>
      <c r="B159" s="8" t="s">
        <v>517</v>
      </c>
      <c r="C159" s="8" t="s">
        <v>1167</v>
      </c>
      <c r="D159" s="8" t="s">
        <v>214</v>
      </c>
      <c r="E159" s="8">
        <v>10</v>
      </c>
      <c r="F159" s="10">
        <v>13500</v>
      </c>
      <c r="G159" s="10">
        <v>23100</v>
      </c>
      <c r="H159" s="10">
        <f t="shared" si="6"/>
        <v>135000</v>
      </c>
      <c r="I159" s="10">
        <f t="shared" si="7"/>
        <v>231000</v>
      </c>
      <c r="J159" s="8">
        <f t="shared" si="8"/>
        <v>0</v>
      </c>
      <c r="K159" s="8">
        <f>IFERROR(INDEX(T_OrdenesTrabajo[En_Filtro],MATCH(B159,T_OrdenesTrabajo[ID_OT],0)),0)</f>
        <v>1</v>
      </c>
    </row>
    <row r="160" spans="1:11" x14ac:dyDescent="0.25">
      <c r="A160" s="8" t="s">
        <v>1323</v>
      </c>
      <c r="B160" s="8" t="s">
        <v>517</v>
      </c>
      <c r="C160" s="8" t="s">
        <v>1167</v>
      </c>
      <c r="D160" s="8" t="s">
        <v>214</v>
      </c>
      <c r="E160" s="8">
        <v>11</v>
      </c>
      <c r="F160" s="10">
        <v>11800</v>
      </c>
      <c r="G160" s="10">
        <v>23100</v>
      </c>
      <c r="H160" s="10">
        <f t="shared" si="6"/>
        <v>129800</v>
      </c>
      <c r="I160" s="10">
        <f t="shared" si="7"/>
        <v>254100</v>
      </c>
      <c r="J160" s="8">
        <f t="shared" si="8"/>
        <v>0</v>
      </c>
      <c r="K160" s="8">
        <f>IFERROR(INDEX(T_OrdenesTrabajo[En_Filtro],MATCH(B160,T_OrdenesTrabajo[ID_OT],0)),0)</f>
        <v>1</v>
      </c>
    </row>
    <row r="161" spans="1:11" x14ac:dyDescent="0.25">
      <c r="A161" s="8" t="s">
        <v>1324</v>
      </c>
      <c r="B161" s="8" t="s">
        <v>522</v>
      </c>
      <c r="C161" s="8" t="s">
        <v>1164</v>
      </c>
      <c r="D161" s="8" t="s">
        <v>22</v>
      </c>
      <c r="E161" s="8">
        <v>21</v>
      </c>
      <c r="F161" s="10">
        <v>4130</v>
      </c>
      <c r="G161" s="10">
        <v>6180</v>
      </c>
      <c r="H161" s="10">
        <f t="shared" si="6"/>
        <v>86730</v>
      </c>
      <c r="I161" s="10">
        <f t="shared" si="7"/>
        <v>129780</v>
      </c>
      <c r="J161" s="8">
        <f t="shared" si="8"/>
        <v>0</v>
      </c>
      <c r="K161" s="8">
        <f>IFERROR(INDEX(T_OrdenesTrabajo[En_Filtro],MATCH(B161,T_OrdenesTrabajo[ID_OT],0)),0)</f>
        <v>1</v>
      </c>
    </row>
    <row r="162" spans="1:11" x14ac:dyDescent="0.25">
      <c r="A162" s="8" t="s">
        <v>1325</v>
      </c>
      <c r="B162" s="8" t="s">
        <v>522</v>
      </c>
      <c r="C162" s="8" t="s">
        <v>1164</v>
      </c>
      <c r="D162" s="8" t="s">
        <v>9</v>
      </c>
      <c r="E162" s="8">
        <v>3</v>
      </c>
      <c r="F162" s="10">
        <v>15520</v>
      </c>
      <c r="G162" s="10">
        <v>22830</v>
      </c>
      <c r="H162" s="10">
        <f t="shared" si="6"/>
        <v>46560</v>
      </c>
      <c r="I162" s="10">
        <f t="shared" si="7"/>
        <v>68490</v>
      </c>
      <c r="J162" s="8">
        <f t="shared" si="8"/>
        <v>0</v>
      </c>
      <c r="K162" s="8">
        <f>IFERROR(INDEX(T_OrdenesTrabajo[En_Filtro],MATCH(B162,T_OrdenesTrabajo[ID_OT],0)),0)</f>
        <v>1</v>
      </c>
    </row>
    <row r="163" spans="1:11" x14ac:dyDescent="0.25">
      <c r="A163" s="8" t="s">
        <v>1326</v>
      </c>
      <c r="B163" s="8" t="s">
        <v>522</v>
      </c>
      <c r="C163" s="8" t="s">
        <v>1167</v>
      </c>
      <c r="D163" s="8" t="s">
        <v>231</v>
      </c>
      <c r="E163" s="8">
        <v>4</v>
      </c>
      <c r="F163" s="10">
        <v>13200</v>
      </c>
      <c r="G163" s="10">
        <v>26500</v>
      </c>
      <c r="H163" s="10">
        <f t="shared" si="6"/>
        <v>52800</v>
      </c>
      <c r="I163" s="10">
        <f t="shared" si="7"/>
        <v>106000</v>
      </c>
      <c r="J163" s="8">
        <f t="shared" si="8"/>
        <v>0</v>
      </c>
      <c r="K163" s="8">
        <f>IFERROR(INDEX(T_OrdenesTrabajo[En_Filtro],MATCH(B163,T_OrdenesTrabajo[ID_OT],0)),0)</f>
        <v>1</v>
      </c>
    </row>
    <row r="164" spans="1:11" x14ac:dyDescent="0.25">
      <c r="A164" s="8" t="s">
        <v>1327</v>
      </c>
      <c r="B164" s="8" t="s">
        <v>527</v>
      </c>
      <c r="C164" s="8" t="s">
        <v>1164</v>
      </c>
      <c r="D164" s="8" t="s">
        <v>54</v>
      </c>
      <c r="E164" s="8">
        <v>1</v>
      </c>
      <c r="F164" s="10">
        <v>88840</v>
      </c>
      <c r="G164" s="10">
        <v>122000</v>
      </c>
      <c r="H164" s="10">
        <f t="shared" si="6"/>
        <v>88840</v>
      </c>
      <c r="I164" s="10">
        <f t="shared" si="7"/>
        <v>122000</v>
      </c>
      <c r="J164" s="8">
        <f t="shared" si="8"/>
        <v>0</v>
      </c>
      <c r="K164" s="8">
        <f>IFERROR(INDEX(T_OrdenesTrabajo[En_Filtro],MATCH(B164,T_OrdenesTrabajo[ID_OT],0)),0)</f>
        <v>1</v>
      </c>
    </row>
    <row r="165" spans="1:11" x14ac:dyDescent="0.25">
      <c r="A165" s="8" t="s">
        <v>1328</v>
      </c>
      <c r="B165" s="8" t="s">
        <v>527</v>
      </c>
      <c r="C165" s="8" t="s">
        <v>1164</v>
      </c>
      <c r="D165" s="8" t="s">
        <v>9</v>
      </c>
      <c r="E165" s="8">
        <v>2</v>
      </c>
      <c r="F165" s="10">
        <v>14220</v>
      </c>
      <c r="G165" s="10">
        <v>18990</v>
      </c>
      <c r="H165" s="10">
        <f t="shared" si="6"/>
        <v>28440</v>
      </c>
      <c r="I165" s="10">
        <f t="shared" si="7"/>
        <v>37980</v>
      </c>
      <c r="J165" s="8">
        <f t="shared" si="8"/>
        <v>0</v>
      </c>
      <c r="K165" s="8">
        <f>IFERROR(INDEX(T_OrdenesTrabajo[En_Filtro],MATCH(B165,T_OrdenesTrabajo[ID_OT],0)),0)</f>
        <v>1</v>
      </c>
    </row>
    <row r="166" spans="1:11" x14ac:dyDescent="0.25">
      <c r="A166" s="8" t="s">
        <v>1329</v>
      </c>
      <c r="B166" s="8" t="s">
        <v>527</v>
      </c>
      <c r="C166" s="8" t="s">
        <v>1167</v>
      </c>
      <c r="D166" s="8" t="s">
        <v>219</v>
      </c>
      <c r="E166" s="8">
        <v>6</v>
      </c>
      <c r="F166" s="10">
        <v>12000</v>
      </c>
      <c r="G166" s="10">
        <v>25000</v>
      </c>
      <c r="H166" s="10">
        <f t="shared" si="6"/>
        <v>72000</v>
      </c>
      <c r="I166" s="10">
        <f t="shared" si="7"/>
        <v>150000</v>
      </c>
      <c r="J166" s="8">
        <f t="shared" si="8"/>
        <v>0</v>
      </c>
      <c r="K166" s="8">
        <f>IFERROR(INDEX(T_OrdenesTrabajo[En_Filtro],MATCH(B166,T_OrdenesTrabajo[ID_OT],0)),0)</f>
        <v>1</v>
      </c>
    </row>
    <row r="167" spans="1:11" x14ac:dyDescent="0.25">
      <c r="A167" s="8" t="s">
        <v>1330</v>
      </c>
      <c r="B167" s="8" t="s">
        <v>532</v>
      </c>
      <c r="C167" s="8" t="s">
        <v>1164</v>
      </c>
      <c r="D167" s="8" t="s">
        <v>17</v>
      </c>
      <c r="E167" s="8">
        <v>12</v>
      </c>
      <c r="F167" s="10">
        <v>5610</v>
      </c>
      <c r="G167" s="10">
        <v>6950</v>
      </c>
      <c r="H167" s="10">
        <f t="shared" si="6"/>
        <v>67320</v>
      </c>
      <c r="I167" s="10">
        <f t="shared" si="7"/>
        <v>83400</v>
      </c>
      <c r="J167" s="8">
        <f t="shared" si="8"/>
        <v>0</v>
      </c>
      <c r="K167" s="8">
        <f>IFERROR(INDEX(T_OrdenesTrabajo[En_Filtro],MATCH(B167,T_OrdenesTrabajo[ID_OT],0)),0)</f>
        <v>1</v>
      </c>
    </row>
    <row r="168" spans="1:11" x14ac:dyDescent="0.25">
      <c r="A168" s="8" t="s">
        <v>1331</v>
      </c>
      <c r="B168" s="8" t="s">
        <v>532</v>
      </c>
      <c r="C168" s="8" t="s">
        <v>1167</v>
      </c>
      <c r="D168" s="8" t="s">
        <v>217</v>
      </c>
      <c r="E168" s="8">
        <v>3</v>
      </c>
      <c r="F168" s="10">
        <v>12900</v>
      </c>
      <c r="G168" s="10">
        <v>22600</v>
      </c>
      <c r="H168" s="10">
        <f t="shared" si="6"/>
        <v>38700</v>
      </c>
      <c r="I168" s="10">
        <f t="shared" si="7"/>
        <v>67800</v>
      </c>
      <c r="J168" s="8">
        <f t="shared" si="8"/>
        <v>0</v>
      </c>
      <c r="K168" s="8">
        <f>IFERROR(INDEX(T_OrdenesTrabajo[En_Filtro],MATCH(B168,T_OrdenesTrabajo[ID_OT],0)),0)</f>
        <v>1</v>
      </c>
    </row>
    <row r="169" spans="1:11" x14ac:dyDescent="0.25">
      <c r="A169" s="8" t="s">
        <v>1332</v>
      </c>
      <c r="B169" s="8" t="s">
        <v>537</v>
      </c>
      <c r="C169" s="8" t="s">
        <v>1164</v>
      </c>
      <c r="D169" s="8" t="s">
        <v>59</v>
      </c>
      <c r="E169" s="8">
        <v>1</v>
      </c>
      <c r="F169" s="10">
        <v>15480</v>
      </c>
      <c r="G169" s="10">
        <v>20700</v>
      </c>
      <c r="H169" s="10">
        <f t="shared" si="6"/>
        <v>15480</v>
      </c>
      <c r="I169" s="10">
        <f t="shared" si="7"/>
        <v>20700</v>
      </c>
      <c r="J169" s="8">
        <f t="shared" si="8"/>
        <v>0</v>
      </c>
      <c r="K169" s="8">
        <f>IFERROR(INDEX(T_OrdenesTrabajo[En_Filtro],MATCH(B169,T_OrdenesTrabajo[ID_OT],0)),0)</f>
        <v>1</v>
      </c>
    </row>
    <row r="170" spans="1:11" x14ac:dyDescent="0.25">
      <c r="A170" s="8" t="s">
        <v>1333</v>
      </c>
      <c r="B170" s="8" t="s">
        <v>537</v>
      </c>
      <c r="C170" s="8" t="s">
        <v>1167</v>
      </c>
      <c r="D170" s="8" t="s">
        <v>214</v>
      </c>
      <c r="E170" s="8">
        <v>6</v>
      </c>
      <c r="F170" s="10">
        <v>12200</v>
      </c>
      <c r="G170" s="10">
        <v>23300</v>
      </c>
      <c r="H170" s="10">
        <f t="shared" si="6"/>
        <v>73200</v>
      </c>
      <c r="I170" s="10">
        <f t="shared" si="7"/>
        <v>139800</v>
      </c>
      <c r="J170" s="8">
        <f t="shared" si="8"/>
        <v>0</v>
      </c>
      <c r="K170" s="8">
        <f>IFERROR(INDEX(T_OrdenesTrabajo[En_Filtro],MATCH(B170,T_OrdenesTrabajo[ID_OT],0)),0)</f>
        <v>1</v>
      </c>
    </row>
    <row r="171" spans="1:11" x14ac:dyDescent="0.25">
      <c r="A171" s="8" t="s">
        <v>1334</v>
      </c>
      <c r="B171" s="8" t="s">
        <v>542</v>
      </c>
      <c r="C171" s="8" t="s">
        <v>1164</v>
      </c>
      <c r="D171" s="8" t="s">
        <v>57</v>
      </c>
      <c r="E171" s="8">
        <v>1</v>
      </c>
      <c r="F171" s="10">
        <v>131660</v>
      </c>
      <c r="G171" s="10">
        <v>163300</v>
      </c>
      <c r="H171" s="10">
        <f t="shared" si="6"/>
        <v>131660</v>
      </c>
      <c r="I171" s="10">
        <f t="shared" si="7"/>
        <v>163300</v>
      </c>
      <c r="J171" s="8">
        <f t="shared" si="8"/>
        <v>0</v>
      </c>
      <c r="K171" s="8">
        <f>IFERROR(INDEX(T_OrdenesTrabajo[En_Filtro],MATCH(B171,T_OrdenesTrabajo[ID_OT],0)),0)</f>
        <v>1</v>
      </c>
    </row>
    <row r="172" spans="1:11" x14ac:dyDescent="0.25">
      <c r="A172" s="8" t="s">
        <v>1335</v>
      </c>
      <c r="B172" s="8" t="s">
        <v>542</v>
      </c>
      <c r="C172" s="8" t="s">
        <v>1164</v>
      </c>
      <c r="D172" s="8" t="s">
        <v>15</v>
      </c>
      <c r="E172" s="8">
        <v>2</v>
      </c>
      <c r="F172" s="10">
        <v>23520</v>
      </c>
      <c r="G172" s="10">
        <v>35190</v>
      </c>
      <c r="H172" s="10">
        <f t="shared" si="6"/>
        <v>47040</v>
      </c>
      <c r="I172" s="10">
        <f t="shared" si="7"/>
        <v>70380</v>
      </c>
      <c r="J172" s="8">
        <f t="shared" si="8"/>
        <v>0</v>
      </c>
      <c r="K172" s="8">
        <f>IFERROR(INDEX(T_OrdenesTrabajo[En_Filtro],MATCH(B172,T_OrdenesTrabajo[ID_OT],0)),0)</f>
        <v>1</v>
      </c>
    </row>
    <row r="173" spans="1:11" x14ac:dyDescent="0.25">
      <c r="A173" s="8" t="s">
        <v>1336</v>
      </c>
      <c r="B173" s="8" t="s">
        <v>542</v>
      </c>
      <c r="C173" s="8" t="s">
        <v>1167</v>
      </c>
      <c r="D173" s="8" t="s">
        <v>217</v>
      </c>
      <c r="E173" s="8">
        <v>10</v>
      </c>
      <c r="F173" s="10">
        <v>12600</v>
      </c>
      <c r="G173" s="10">
        <v>24700</v>
      </c>
      <c r="H173" s="10">
        <f t="shared" si="6"/>
        <v>126000</v>
      </c>
      <c r="I173" s="10">
        <f t="shared" si="7"/>
        <v>247000</v>
      </c>
      <c r="J173" s="8">
        <f t="shared" si="8"/>
        <v>0</v>
      </c>
      <c r="K173" s="8">
        <f>IFERROR(INDEX(T_OrdenesTrabajo[En_Filtro],MATCH(B173,T_OrdenesTrabajo[ID_OT],0)),0)</f>
        <v>1</v>
      </c>
    </row>
    <row r="174" spans="1:11" x14ac:dyDescent="0.25">
      <c r="A174" s="8" t="s">
        <v>1337</v>
      </c>
      <c r="B174" s="8" t="s">
        <v>545</v>
      </c>
      <c r="C174" s="8" t="s">
        <v>1164</v>
      </c>
      <c r="D174" s="8" t="s">
        <v>52</v>
      </c>
      <c r="E174" s="8">
        <v>2</v>
      </c>
      <c r="F174" s="10">
        <v>334720</v>
      </c>
      <c r="G174" s="10">
        <v>481070</v>
      </c>
      <c r="H174" s="10">
        <f t="shared" si="6"/>
        <v>669440</v>
      </c>
      <c r="I174" s="10">
        <f t="shared" si="7"/>
        <v>962140</v>
      </c>
      <c r="J174" s="8">
        <f t="shared" si="8"/>
        <v>0</v>
      </c>
      <c r="K174" s="8">
        <f>IFERROR(INDEX(T_OrdenesTrabajo[En_Filtro],MATCH(B174,T_OrdenesTrabajo[ID_OT],0)),0)</f>
        <v>1</v>
      </c>
    </row>
    <row r="175" spans="1:11" x14ac:dyDescent="0.25">
      <c r="A175" s="8" t="s">
        <v>1338</v>
      </c>
      <c r="B175" s="8" t="s">
        <v>545</v>
      </c>
      <c r="C175" s="8" t="s">
        <v>1164</v>
      </c>
      <c r="D175" s="8" t="s">
        <v>24</v>
      </c>
      <c r="E175" s="8">
        <v>2</v>
      </c>
      <c r="F175" s="10">
        <v>390540</v>
      </c>
      <c r="G175" s="10">
        <v>524960</v>
      </c>
      <c r="H175" s="10">
        <f t="shared" si="6"/>
        <v>781080</v>
      </c>
      <c r="I175" s="10">
        <f t="shared" si="7"/>
        <v>1049920</v>
      </c>
      <c r="J175" s="8">
        <f t="shared" si="8"/>
        <v>0</v>
      </c>
      <c r="K175" s="8">
        <f>IFERROR(INDEX(T_OrdenesTrabajo[En_Filtro],MATCH(B175,T_OrdenesTrabajo[ID_OT],0)),0)</f>
        <v>1</v>
      </c>
    </row>
    <row r="176" spans="1:11" x14ac:dyDescent="0.25">
      <c r="A176" s="8" t="s">
        <v>1339</v>
      </c>
      <c r="B176" s="8" t="s">
        <v>545</v>
      </c>
      <c r="C176" s="8" t="s">
        <v>1167</v>
      </c>
      <c r="D176" s="8" t="s">
        <v>226</v>
      </c>
      <c r="E176" s="8">
        <v>11</v>
      </c>
      <c r="F176" s="10">
        <v>13500</v>
      </c>
      <c r="G176" s="10">
        <v>24800</v>
      </c>
      <c r="H176" s="10">
        <f t="shared" si="6"/>
        <v>148500</v>
      </c>
      <c r="I176" s="10">
        <f t="shared" si="7"/>
        <v>272800</v>
      </c>
      <c r="J176" s="8">
        <f t="shared" si="8"/>
        <v>0</v>
      </c>
      <c r="K176" s="8">
        <f>IFERROR(INDEX(T_OrdenesTrabajo[En_Filtro],MATCH(B176,T_OrdenesTrabajo[ID_OT],0)),0)</f>
        <v>1</v>
      </c>
    </row>
    <row r="177" spans="1:11" x14ac:dyDescent="0.25">
      <c r="A177" s="8" t="s">
        <v>1340</v>
      </c>
      <c r="B177" s="8" t="s">
        <v>550</v>
      </c>
      <c r="C177" s="8" t="s">
        <v>1164</v>
      </c>
      <c r="D177" s="8" t="s">
        <v>27</v>
      </c>
      <c r="E177" s="8">
        <v>3</v>
      </c>
      <c r="F177" s="10">
        <v>103880</v>
      </c>
      <c r="G177" s="10">
        <v>151810</v>
      </c>
      <c r="H177" s="10">
        <f t="shared" si="6"/>
        <v>311640</v>
      </c>
      <c r="I177" s="10">
        <f t="shared" si="7"/>
        <v>455430</v>
      </c>
      <c r="J177" s="8">
        <f t="shared" si="8"/>
        <v>0</v>
      </c>
      <c r="K177" s="8">
        <f>IFERROR(INDEX(T_OrdenesTrabajo[En_Filtro],MATCH(B177,T_OrdenesTrabajo[ID_OT],0)),0)</f>
        <v>1</v>
      </c>
    </row>
    <row r="178" spans="1:11" x14ac:dyDescent="0.25">
      <c r="A178" s="8" t="s">
        <v>1341</v>
      </c>
      <c r="B178" s="8" t="s">
        <v>550</v>
      </c>
      <c r="C178" s="8" t="s">
        <v>1164</v>
      </c>
      <c r="D178" s="8" t="s">
        <v>47</v>
      </c>
      <c r="E178" s="8">
        <v>2</v>
      </c>
      <c r="F178" s="10">
        <v>9740</v>
      </c>
      <c r="G178" s="10">
        <v>14290</v>
      </c>
      <c r="H178" s="10">
        <f t="shared" si="6"/>
        <v>19480</v>
      </c>
      <c r="I178" s="10">
        <f t="shared" si="7"/>
        <v>28580</v>
      </c>
      <c r="J178" s="8">
        <f t="shared" si="8"/>
        <v>0</v>
      </c>
      <c r="K178" s="8">
        <f>IFERROR(INDEX(T_OrdenesTrabajo[En_Filtro],MATCH(B178,T_OrdenesTrabajo[ID_OT],0)),0)</f>
        <v>1</v>
      </c>
    </row>
    <row r="179" spans="1:11" x14ac:dyDescent="0.25">
      <c r="A179" s="8" t="s">
        <v>1342</v>
      </c>
      <c r="B179" s="8" t="s">
        <v>550</v>
      </c>
      <c r="C179" s="8" t="s">
        <v>1167</v>
      </c>
      <c r="D179" s="8" t="s">
        <v>221</v>
      </c>
      <c r="E179" s="8">
        <v>8</v>
      </c>
      <c r="F179" s="10">
        <v>12200</v>
      </c>
      <c r="G179" s="10">
        <v>23300</v>
      </c>
      <c r="H179" s="10">
        <f t="shared" si="6"/>
        <v>97600</v>
      </c>
      <c r="I179" s="10">
        <f t="shared" si="7"/>
        <v>186400</v>
      </c>
      <c r="J179" s="8">
        <f t="shared" si="8"/>
        <v>0</v>
      </c>
      <c r="K179" s="8">
        <f>IFERROR(INDEX(T_OrdenesTrabajo[En_Filtro],MATCH(B179,T_OrdenesTrabajo[ID_OT],0)),0)</f>
        <v>1</v>
      </c>
    </row>
    <row r="180" spans="1:11" x14ac:dyDescent="0.25">
      <c r="A180" s="8" t="s">
        <v>1343</v>
      </c>
      <c r="B180" s="8" t="s">
        <v>555</v>
      </c>
      <c r="C180" s="8" t="s">
        <v>1164</v>
      </c>
      <c r="D180" s="8" t="s">
        <v>9</v>
      </c>
      <c r="E180" s="8">
        <v>2</v>
      </c>
      <c r="F180" s="10">
        <v>15210</v>
      </c>
      <c r="G180" s="10">
        <v>20750</v>
      </c>
      <c r="H180" s="10">
        <f t="shared" si="6"/>
        <v>30420</v>
      </c>
      <c r="I180" s="10">
        <f t="shared" si="7"/>
        <v>41500</v>
      </c>
      <c r="J180" s="8">
        <f t="shared" si="8"/>
        <v>0</v>
      </c>
      <c r="K180" s="8">
        <f>IFERROR(INDEX(T_OrdenesTrabajo[En_Filtro],MATCH(B180,T_OrdenesTrabajo[ID_OT],0)),0)</f>
        <v>1</v>
      </c>
    </row>
    <row r="181" spans="1:11" x14ac:dyDescent="0.25">
      <c r="A181" s="8" t="s">
        <v>1344</v>
      </c>
      <c r="B181" s="8" t="s">
        <v>555</v>
      </c>
      <c r="C181" s="8" t="s">
        <v>1164</v>
      </c>
      <c r="D181" s="8" t="s">
        <v>57</v>
      </c>
      <c r="E181" s="8">
        <v>2</v>
      </c>
      <c r="F181" s="10">
        <v>114920</v>
      </c>
      <c r="G181" s="10">
        <v>138880</v>
      </c>
      <c r="H181" s="10">
        <f t="shared" si="6"/>
        <v>229840</v>
      </c>
      <c r="I181" s="10">
        <f t="shared" si="7"/>
        <v>277760</v>
      </c>
      <c r="J181" s="8">
        <f t="shared" si="8"/>
        <v>0</v>
      </c>
      <c r="K181" s="8">
        <f>IFERROR(INDEX(T_OrdenesTrabajo[En_Filtro],MATCH(B181,T_OrdenesTrabajo[ID_OT],0)),0)</f>
        <v>1</v>
      </c>
    </row>
    <row r="182" spans="1:11" x14ac:dyDescent="0.25">
      <c r="A182" s="8" t="s">
        <v>1345</v>
      </c>
      <c r="B182" s="8" t="s">
        <v>555</v>
      </c>
      <c r="C182" s="8" t="s">
        <v>1167</v>
      </c>
      <c r="D182" s="8" t="s">
        <v>231</v>
      </c>
      <c r="E182" s="8">
        <v>2</v>
      </c>
      <c r="F182" s="10">
        <v>14000</v>
      </c>
      <c r="G182" s="10">
        <v>26600</v>
      </c>
      <c r="H182" s="10">
        <f t="shared" si="6"/>
        <v>28000</v>
      </c>
      <c r="I182" s="10">
        <f t="shared" si="7"/>
        <v>53200</v>
      </c>
      <c r="J182" s="8">
        <f t="shared" si="8"/>
        <v>0</v>
      </c>
      <c r="K182" s="8">
        <f>IFERROR(INDEX(T_OrdenesTrabajo[En_Filtro],MATCH(B182,T_OrdenesTrabajo[ID_OT],0)),0)</f>
        <v>1</v>
      </c>
    </row>
    <row r="183" spans="1:11" x14ac:dyDescent="0.25">
      <c r="A183" s="8" t="s">
        <v>1346</v>
      </c>
      <c r="B183" s="8" t="s">
        <v>560</v>
      </c>
      <c r="C183" s="8" t="s">
        <v>1164</v>
      </c>
      <c r="D183" s="8" t="s">
        <v>33</v>
      </c>
      <c r="E183" s="8">
        <v>2</v>
      </c>
      <c r="F183" s="10">
        <v>216590</v>
      </c>
      <c r="G183" s="10">
        <v>271270</v>
      </c>
      <c r="H183" s="10">
        <f t="shared" si="6"/>
        <v>433180</v>
      </c>
      <c r="I183" s="10">
        <f t="shared" si="7"/>
        <v>542540</v>
      </c>
      <c r="J183" s="8">
        <f t="shared" si="8"/>
        <v>0</v>
      </c>
      <c r="K183" s="8">
        <f>IFERROR(INDEX(T_OrdenesTrabajo[En_Filtro],MATCH(B183,T_OrdenesTrabajo[ID_OT],0)),0)</f>
        <v>1</v>
      </c>
    </row>
    <row r="184" spans="1:11" x14ac:dyDescent="0.25">
      <c r="A184" s="8" t="s">
        <v>1347</v>
      </c>
      <c r="B184" s="8" t="s">
        <v>560</v>
      </c>
      <c r="C184" s="8" t="s">
        <v>1164</v>
      </c>
      <c r="D184" s="8" t="s">
        <v>15</v>
      </c>
      <c r="E184" s="8">
        <v>2</v>
      </c>
      <c r="F184" s="10">
        <v>24060</v>
      </c>
      <c r="G184" s="10">
        <v>34500</v>
      </c>
      <c r="H184" s="10">
        <f t="shared" si="6"/>
        <v>48120</v>
      </c>
      <c r="I184" s="10">
        <f t="shared" si="7"/>
        <v>69000</v>
      </c>
      <c r="J184" s="8">
        <f t="shared" si="8"/>
        <v>0</v>
      </c>
      <c r="K184" s="8">
        <f>IFERROR(INDEX(T_OrdenesTrabajo[En_Filtro],MATCH(B184,T_OrdenesTrabajo[ID_OT],0)),0)</f>
        <v>1</v>
      </c>
    </row>
    <row r="185" spans="1:11" x14ac:dyDescent="0.25">
      <c r="A185" s="8" t="s">
        <v>1348</v>
      </c>
      <c r="B185" s="8" t="s">
        <v>560</v>
      </c>
      <c r="C185" s="8" t="s">
        <v>1164</v>
      </c>
      <c r="D185" s="8" t="s">
        <v>54</v>
      </c>
      <c r="E185" s="8">
        <v>4</v>
      </c>
      <c r="F185" s="10">
        <v>88770</v>
      </c>
      <c r="G185" s="10">
        <v>119520</v>
      </c>
      <c r="H185" s="10">
        <f t="shared" si="6"/>
        <v>355080</v>
      </c>
      <c r="I185" s="10">
        <f t="shared" si="7"/>
        <v>478080</v>
      </c>
      <c r="J185" s="8">
        <f t="shared" si="8"/>
        <v>0</v>
      </c>
      <c r="K185" s="8">
        <f>IFERROR(INDEX(T_OrdenesTrabajo[En_Filtro],MATCH(B185,T_OrdenesTrabajo[ID_OT],0)),0)</f>
        <v>1</v>
      </c>
    </row>
    <row r="186" spans="1:11" x14ac:dyDescent="0.25">
      <c r="A186" s="8" t="s">
        <v>1349</v>
      </c>
      <c r="B186" s="8" t="s">
        <v>560</v>
      </c>
      <c r="C186" s="8" t="s">
        <v>1167</v>
      </c>
      <c r="D186" s="8" t="s">
        <v>228</v>
      </c>
      <c r="E186" s="8">
        <v>8</v>
      </c>
      <c r="F186" s="10">
        <v>13600</v>
      </c>
      <c r="G186" s="10">
        <v>28900</v>
      </c>
      <c r="H186" s="10">
        <f t="shared" si="6"/>
        <v>108800</v>
      </c>
      <c r="I186" s="10">
        <f t="shared" si="7"/>
        <v>231200</v>
      </c>
      <c r="J186" s="8">
        <f t="shared" si="8"/>
        <v>0</v>
      </c>
      <c r="K186" s="8">
        <f>IFERROR(INDEX(T_OrdenesTrabajo[En_Filtro],MATCH(B186,T_OrdenesTrabajo[ID_OT],0)),0)</f>
        <v>1</v>
      </c>
    </row>
    <row r="187" spans="1:11" x14ac:dyDescent="0.25">
      <c r="A187" s="8" t="s">
        <v>1350</v>
      </c>
      <c r="B187" s="8" t="s">
        <v>565</v>
      </c>
      <c r="C187" s="8" t="s">
        <v>1164</v>
      </c>
      <c r="D187" s="8" t="s">
        <v>9</v>
      </c>
      <c r="E187" s="8">
        <v>1</v>
      </c>
      <c r="F187" s="10">
        <v>14670</v>
      </c>
      <c r="G187" s="10">
        <v>21780</v>
      </c>
      <c r="H187" s="10">
        <f t="shared" si="6"/>
        <v>14670</v>
      </c>
      <c r="I187" s="10">
        <f t="shared" si="7"/>
        <v>21780</v>
      </c>
      <c r="J187" s="8">
        <f t="shared" si="8"/>
        <v>0</v>
      </c>
      <c r="K187" s="8">
        <f>IFERROR(INDEX(T_OrdenesTrabajo[En_Filtro],MATCH(B187,T_OrdenesTrabajo[ID_OT],0)),0)</f>
        <v>1</v>
      </c>
    </row>
    <row r="188" spans="1:11" x14ac:dyDescent="0.25">
      <c r="A188" s="8" t="s">
        <v>1351</v>
      </c>
      <c r="B188" s="8" t="s">
        <v>565</v>
      </c>
      <c r="C188" s="8" t="s">
        <v>1164</v>
      </c>
      <c r="D188" s="8" t="s">
        <v>65</v>
      </c>
      <c r="E188" s="8">
        <v>3</v>
      </c>
      <c r="F188" s="10">
        <v>22520</v>
      </c>
      <c r="G188" s="10">
        <v>27600</v>
      </c>
      <c r="H188" s="10">
        <f t="shared" si="6"/>
        <v>67560</v>
      </c>
      <c r="I188" s="10">
        <f t="shared" si="7"/>
        <v>82800</v>
      </c>
      <c r="J188" s="8">
        <f t="shared" si="8"/>
        <v>0</v>
      </c>
      <c r="K188" s="8">
        <f>IFERROR(INDEX(T_OrdenesTrabajo[En_Filtro],MATCH(B188,T_OrdenesTrabajo[ID_OT],0)),0)</f>
        <v>1</v>
      </c>
    </row>
    <row r="189" spans="1:11" x14ac:dyDescent="0.25">
      <c r="A189" s="8" t="s">
        <v>1352</v>
      </c>
      <c r="B189" s="8" t="s">
        <v>565</v>
      </c>
      <c r="C189" s="8" t="s">
        <v>1167</v>
      </c>
      <c r="D189" s="8" t="s">
        <v>219</v>
      </c>
      <c r="E189" s="8">
        <v>6</v>
      </c>
      <c r="F189" s="10">
        <v>13700</v>
      </c>
      <c r="G189" s="10">
        <v>23500</v>
      </c>
      <c r="H189" s="10">
        <f t="shared" si="6"/>
        <v>82200</v>
      </c>
      <c r="I189" s="10">
        <f t="shared" si="7"/>
        <v>141000</v>
      </c>
      <c r="J189" s="8">
        <f t="shared" si="8"/>
        <v>0</v>
      </c>
      <c r="K189" s="8">
        <f>IFERROR(INDEX(T_OrdenesTrabajo[En_Filtro],MATCH(B189,T_OrdenesTrabajo[ID_OT],0)),0)</f>
        <v>1</v>
      </c>
    </row>
    <row r="190" spans="1:11" x14ac:dyDescent="0.25">
      <c r="A190" s="8" t="s">
        <v>1353</v>
      </c>
      <c r="B190" s="8" t="s">
        <v>570</v>
      </c>
      <c r="C190" s="8" t="s">
        <v>1164</v>
      </c>
      <c r="D190" s="8" t="s">
        <v>65</v>
      </c>
      <c r="E190" s="8">
        <v>3</v>
      </c>
      <c r="F190" s="10">
        <v>22230</v>
      </c>
      <c r="G190" s="10">
        <v>15510</v>
      </c>
      <c r="H190" s="10">
        <f t="shared" si="6"/>
        <v>66690</v>
      </c>
      <c r="I190" s="10">
        <f t="shared" si="7"/>
        <v>46530</v>
      </c>
      <c r="J190" s="8">
        <f t="shared" si="8"/>
        <v>0</v>
      </c>
      <c r="K190" s="8">
        <f>IFERROR(INDEX(T_OrdenesTrabajo[En_Filtro],MATCH(B190,T_OrdenesTrabajo[ID_OT],0)),0)</f>
        <v>1</v>
      </c>
    </row>
    <row r="191" spans="1:11" x14ac:dyDescent="0.25">
      <c r="A191" s="8" t="s">
        <v>1354</v>
      </c>
      <c r="B191" s="8" t="s">
        <v>570</v>
      </c>
      <c r="C191" s="8" t="s">
        <v>1164</v>
      </c>
      <c r="D191" s="8" t="s">
        <v>9</v>
      </c>
      <c r="E191" s="8">
        <v>2</v>
      </c>
      <c r="F191" s="10">
        <v>13940</v>
      </c>
      <c r="G191" s="10">
        <v>11840</v>
      </c>
      <c r="H191" s="10">
        <f t="shared" si="6"/>
        <v>27880</v>
      </c>
      <c r="I191" s="10">
        <f t="shared" si="7"/>
        <v>23680</v>
      </c>
      <c r="J191" s="8">
        <f t="shared" si="8"/>
        <v>0</v>
      </c>
      <c r="K191" s="8">
        <f>IFERROR(INDEX(T_OrdenesTrabajo[En_Filtro],MATCH(B191,T_OrdenesTrabajo[ID_OT],0)),0)</f>
        <v>1</v>
      </c>
    </row>
    <row r="192" spans="1:11" x14ac:dyDescent="0.25">
      <c r="A192" s="8" t="s">
        <v>1355</v>
      </c>
      <c r="B192" s="8" t="s">
        <v>570</v>
      </c>
      <c r="C192" s="8" t="s">
        <v>1167</v>
      </c>
      <c r="D192" s="8" t="s">
        <v>217</v>
      </c>
      <c r="E192" s="8">
        <v>5</v>
      </c>
      <c r="F192" s="10">
        <v>11500</v>
      </c>
      <c r="G192" s="10">
        <v>14300</v>
      </c>
      <c r="H192" s="10">
        <f t="shared" si="6"/>
        <v>57500</v>
      </c>
      <c r="I192" s="10">
        <f t="shared" si="7"/>
        <v>71500</v>
      </c>
      <c r="J192" s="8">
        <f t="shared" si="8"/>
        <v>0</v>
      </c>
      <c r="K192" s="8">
        <f>IFERROR(INDEX(T_OrdenesTrabajo[En_Filtro],MATCH(B192,T_OrdenesTrabajo[ID_OT],0)),0)</f>
        <v>1</v>
      </c>
    </row>
    <row r="193" spans="1:11" x14ac:dyDescent="0.25">
      <c r="A193" s="8" t="s">
        <v>1356</v>
      </c>
      <c r="B193" s="8" t="s">
        <v>575</v>
      </c>
      <c r="C193" s="8" t="s">
        <v>1164</v>
      </c>
      <c r="D193" s="8" t="s">
        <v>15</v>
      </c>
      <c r="E193" s="8">
        <v>3</v>
      </c>
      <c r="F193" s="10">
        <v>23480</v>
      </c>
      <c r="G193" s="10">
        <v>27730</v>
      </c>
      <c r="H193" s="10">
        <f t="shared" si="6"/>
        <v>70440</v>
      </c>
      <c r="I193" s="10">
        <f t="shared" si="7"/>
        <v>83190</v>
      </c>
      <c r="J193" s="8">
        <f t="shared" si="8"/>
        <v>0</v>
      </c>
      <c r="K193" s="8">
        <f>IFERROR(INDEX(T_OrdenesTrabajo[En_Filtro],MATCH(B193,T_OrdenesTrabajo[ID_OT],0)),0)</f>
        <v>1</v>
      </c>
    </row>
    <row r="194" spans="1:11" x14ac:dyDescent="0.25">
      <c r="A194" s="8" t="s">
        <v>1357</v>
      </c>
      <c r="B194" s="8" t="s">
        <v>575</v>
      </c>
      <c r="C194" s="8" t="s">
        <v>1164</v>
      </c>
      <c r="D194" s="8" t="s">
        <v>63</v>
      </c>
      <c r="E194" s="8">
        <v>2</v>
      </c>
      <c r="F194" s="10">
        <v>62350</v>
      </c>
      <c r="G194" s="10">
        <v>82380</v>
      </c>
      <c r="H194" s="10">
        <f t="shared" ref="H194:H257" si="9">IF(OR(ISBLANK(F194),NOT(ISNUMBER(F194))),"",E194*F194)</f>
        <v>124700</v>
      </c>
      <c r="I194" s="10">
        <f t="shared" ref="I194:I257" si="10">IF(OR(ISBLANK(G194),NOT(ISNUMBER(G194))),"",E194*G194)</f>
        <v>164760</v>
      </c>
      <c r="J194" s="8">
        <f t="shared" ref="J194:J257" si="11">IF(AND(ISNUMBER(F194),ISNUMBER(G194)),0,1)</f>
        <v>0</v>
      </c>
      <c r="K194" s="8">
        <f>IFERROR(INDEX(T_OrdenesTrabajo[En_Filtro],MATCH(B194,T_OrdenesTrabajo[ID_OT],0)),0)</f>
        <v>1</v>
      </c>
    </row>
    <row r="195" spans="1:11" x14ac:dyDescent="0.25">
      <c r="A195" s="8" t="s">
        <v>1358</v>
      </c>
      <c r="B195" s="8" t="s">
        <v>575</v>
      </c>
      <c r="C195" s="8" t="s">
        <v>1164</v>
      </c>
      <c r="D195" s="8" t="s">
        <v>59</v>
      </c>
      <c r="E195" s="8">
        <v>2</v>
      </c>
      <c r="F195" s="10">
        <v>15150</v>
      </c>
      <c r="G195" s="10">
        <v>19030</v>
      </c>
      <c r="H195" s="10">
        <f t="shared" si="9"/>
        <v>30300</v>
      </c>
      <c r="I195" s="10">
        <f t="shared" si="10"/>
        <v>38060</v>
      </c>
      <c r="J195" s="8">
        <f t="shared" si="11"/>
        <v>0</v>
      </c>
      <c r="K195" s="8">
        <f>IFERROR(INDEX(T_OrdenesTrabajo[En_Filtro],MATCH(B195,T_OrdenesTrabajo[ID_OT],0)),0)</f>
        <v>1</v>
      </c>
    </row>
    <row r="196" spans="1:11" x14ac:dyDescent="0.25">
      <c r="A196" s="8" t="s">
        <v>1359</v>
      </c>
      <c r="B196" s="8" t="s">
        <v>575</v>
      </c>
      <c r="C196" s="8" t="s">
        <v>1167</v>
      </c>
      <c r="D196" s="8" t="s">
        <v>217</v>
      </c>
      <c r="E196" s="8">
        <v>5</v>
      </c>
      <c r="F196" s="10">
        <v>13900</v>
      </c>
      <c r="G196" s="10">
        <v>23300</v>
      </c>
      <c r="H196" s="10">
        <f t="shared" si="9"/>
        <v>69500</v>
      </c>
      <c r="I196" s="10">
        <f t="shared" si="10"/>
        <v>116500</v>
      </c>
      <c r="J196" s="8">
        <f t="shared" si="11"/>
        <v>0</v>
      </c>
      <c r="K196" s="8">
        <f>IFERROR(INDEX(T_OrdenesTrabajo[En_Filtro],MATCH(B196,T_OrdenesTrabajo[ID_OT],0)),0)</f>
        <v>1</v>
      </c>
    </row>
    <row r="197" spans="1:11" x14ac:dyDescent="0.25">
      <c r="A197" s="8" t="s">
        <v>1360</v>
      </c>
      <c r="B197" s="8" t="s">
        <v>580</v>
      </c>
      <c r="C197" s="8" t="s">
        <v>1164</v>
      </c>
      <c r="D197" s="8" t="s">
        <v>17</v>
      </c>
      <c r="E197" s="8">
        <v>24</v>
      </c>
      <c r="F197" s="10">
        <v>4950</v>
      </c>
      <c r="G197" s="10">
        <v>6620</v>
      </c>
      <c r="H197" s="10">
        <f t="shared" si="9"/>
        <v>118800</v>
      </c>
      <c r="I197" s="10">
        <f t="shared" si="10"/>
        <v>158880</v>
      </c>
      <c r="J197" s="8">
        <f t="shared" si="11"/>
        <v>0</v>
      </c>
      <c r="K197" s="8">
        <f>IFERROR(INDEX(T_OrdenesTrabajo[En_Filtro],MATCH(B197,T_OrdenesTrabajo[ID_OT],0)),0)</f>
        <v>1</v>
      </c>
    </row>
    <row r="198" spans="1:11" x14ac:dyDescent="0.25">
      <c r="A198" s="8" t="s">
        <v>1361</v>
      </c>
      <c r="B198" s="8" t="s">
        <v>580</v>
      </c>
      <c r="C198" s="8" t="s">
        <v>1167</v>
      </c>
      <c r="D198" s="8" t="s">
        <v>219</v>
      </c>
      <c r="E198" s="8">
        <v>2</v>
      </c>
      <c r="F198" s="10">
        <v>12700</v>
      </c>
      <c r="G198" s="10">
        <v>24100</v>
      </c>
      <c r="H198" s="10">
        <f t="shared" si="9"/>
        <v>25400</v>
      </c>
      <c r="I198" s="10">
        <f t="shared" si="10"/>
        <v>48200</v>
      </c>
      <c r="J198" s="8">
        <f t="shared" si="11"/>
        <v>0</v>
      </c>
      <c r="K198" s="8">
        <f>IFERROR(INDEX(T_OrdenesTrabajo[En_Filtro],MATCH(B198,T_OrdenesTrabajo[ID_OT],0)),0)</f>
        <v>1</v>
      </c>
    </row>
    <row r="199" spans="1:11" x14ac:dyDescent="0.25">
      <c r="A199" s="8" t="s">
        <v>1362</v>
      </c>
      <c r="B199" s="8" t="s">
        <v>580</v>
      </c>
      <c r="C199" s="8" t="s">
        <v>1167</v>
      </c>
      <c r="D199" s="8" t="s">
        <v>231</v>
      </c>
      <c r="E199" s="8">
        <v>5</v>
      </c>
      <c r="F199" s="10">
        <v>14000</v>
      </c>
      <c r="G199" s="10">
        <v>28900</v>
      </c>
      <c r="H199" s="10">
        <f t="shared" si="9"/>
        <v>70000</v>
      </c>
      <c r="I199" s="10">
        <f t="shared" si="10"/>
        <v>144500</v>
      </c>
      <c r="J199" s="8">
        <f t="shared" si="11"/>
        <v>0</v>
      </c>
      <c r="K199" s="8">
        <f>IFERROR(INDEX(T_OrdenesTrabajo[En_Filtro],MATCH(B199,T_OrdenesTrabajo[ID_OT],0)),0)</f>
        <v>1</v>
      </c>
    </row>
    <row r="200" spans="1:11" x14ac:dyDescent="0.25">
      <c r="A200" s="8" t="s">
        <v>1363</v>
      </c>
      <c r="B200" s="8" t="s">
        <v>585</v>
      </c>
      <c r="C200" s="8" t="s">
        <v>1164</v>
      </c>
      <c r="D200" s="8" t="s">
        <v>17</v>
      </c>
      <c r="E200" s="8">
        <v>16</v>
      </c>
      <c r="F200" s="10"/>
      <c r="G200" s="10">
        <v>7280</v>
      </c>
      <c r="H200" s="10" t="str">
        <f t="shared" si="9"/>
        <v/>
      </c>
      <c r="I200" s="10">
        <f t="shared" si="10"/>
        <v>116480</v>
      </c>
      <c r="J200" s="8">
        <f t="shared" si="11"/>
        <v>1</v>
      </c>
      <c r="K200" s="8">
        <f>IFERROR(INDEX(T_OrdenesTrabajo[En_Filtro],MATCH(B200,T_OrdenesTrabajo[ID_OT],0)),0)</f>
        <v>1</v>
      </c>
    </row>
    <row r="201" spans="1:11" x14ac:dyDescent="0.25">
      <c r="A201" s="8" t="s">
        <v>1364</v>
      </c>
      <c r="B201" s="8" t="s">
        <v>585</v>
      </c>
      <c r="C201" s="8" t="s">
        <v>1164</v>
      </c>
      <c r="D201" s="8" t="s">
        <v>13</v>
      </c>
      <c r="E201" s="8">
        <v>2</v>
      </c>
      <c r="F201" s="10">
        <v>30580</v>
      </c>
      <c r="G201" s="10">
        <v>43660</v>
      </c>
      <c r="H201" s="10">
        <f t="shared" si="9"/>
        <v>61160</v>
      </c>
      <c r="I201" s="10">
        <f t="shared" si="10"/>
        <v>87320</v>
      </c>
      <c r="J201" s="8">
        <f t="shared" si="11"/>
        <v>0</v>
      </c>
      <c r="K201" s="8">
        <f>IFERROR(INDEX(T_OrdenesTrabajo[En_Filtro],MATCH(B201,T_OrdenesTrabajo[ID_OT],0)),0)</f>
        <v>1</v>
      </c>
    </row>
    <row r="202" spans="1:11" x14ac:dyDescent="0.25">
      <c r="A202" s="8" t="s">
        <v>1365</v>
      </c>
      <c r="B202" s="8" t="s">
        <v>585</v>
      </c>
      <c r="C202" s="8" t="s">
        <v>1164</v>
      </c>
      <c r="D202" s="8" t="s">
        <v>9</v>
      </c>
      <c r="E202" s="8">
        <v>1</v>
      </c>
      <c r="F202" s="10">
        <v>14490</v>
      </c>
      <c r="G202" s="10">
        <v>20310</v>
      </c>
      <c r="H202" s="10">
        <f t="shared" si="9"/>
        <v>14490</v>
      </c>
      <c r="I202" s="10">
        <f t="shared" si="10"/>
        <v>20310</v>
      </c>
      <c r="J202" s="8">
        <f t="shared" si="11"/>
        <v>0</v>
      </c>
      <c r="K202" s="8">
        <f>IFERROR(INDEX(T_OrdenesTrabajo[En_Filtro],MATCH(B202,T_OrdenesTrabajo[ID_OT],0)),0)</f>
        <v>1</v>
      </c>
    </row>
    <row r="203" spans="1:11" x14ac:dyDescent="0.25">
      <c r="A203" s="8" t="s">
        <v>1366</v>
      </c>
      <c r="B203" s="8" t="s">
        <v>585</v>
      </c>
      <c r="C203" s="8" t="s">
        <v>1167</v>
      </c>
      <c r="D203" s="8" t="s">
        <v>217</v>
      </c>
      <c r="E203" s="8">
        <v>3</v>
      </c>
      <c r="F203" s="10">
        <v>13900</v>
      </c>
      <c r="G203" s="10">
        <v>21400</v>
      </c>
      <c r="H203" s="10">
        <f t="shared" si="9"/>
        <v>41700</v>
      </c>
      <c r="I203" s="10">
        <f t="shared" si="10"/>
        <v>64200</v>
      </c>
      <c r="J203" s="8">
        <f t="shared" si="11"/>
        <v>0</v>
      </c>
      <c r="K203" s="8">
        <f>IFERROR(INDEX(T_OrdenesTrabajo[En_Filtro],MATCH(B203,T_OrdenesTrabajo[ID_OT],0)),0)</f>
        <v>1</v>
      </c>
    </row>
    <row r="204" spans="1:11" x14ac:dyDescent="0.25">
      <c r="A204" s="8" t="s">
        <v>1367</v>
      </c>
      <c r="B204" s="8" t="s">
        <v>590</v>
      </c>
      <c r="C204" s="8" t="s">
        <v>1164</v>
      </c>
      <c r="D204" s="8" t="s">
        <v>20</v>
      </c>
      <c r="E204" s="8">
        <v>14</v>
      </c>
      <c r="F204" s="10">
        <v>6330</v>
      </c>
      <c r="G204" s="10">
        <v>7520</v>
      </c>
      <c r="H204" s="10">
        <f t="shared" si="9"/>
        <v>88620</v>
      </c>
      <c r="I204" s="10">
        <f t="shared" si="10"/>
        <v>105280</v>
      </c>
      <c r="J204" s="8">
        <f t="shared" si="11"/>
        <v>0</v>
      </c>
      <c r="K204" s="8">
        <f>IFERROR(INDEX(T_OrdenesTrabajo[En_Filtro],MATCH(B204,T_OrdenesTrabajo[ID_OT],0)),0)</f>
        <v>1</v>
      </c>
    </row>
    <row r="205" spans="1:11" x14ac:dyDescent="0.25">
      <c r="A205" s="8" t="s">
        <v>1368</v>
      </c>
      <c r="B205" s="8" t="s">
        <v>590</v>
      </c>
      <c r="C205" s="8" t="s">
        <v>1164</v>
      </c>
      <c r="D205" s="8" t="s">
        <v>22</v>
      </c>
      <c r="E205" s="8">
        <v>8</v>
      </c>
      <c r="F205" s="10">
        <v>4790</v>
      </c>
      <c r="G205" s="10">
        <v>5220</v>
      </c>
      <c r="H205" s="10">
        <f t="shared" si="9"/>
        <v>38320</v>
      </c>
      <c r="I205" s="10">
        <f t="shared" si="10"/>
        <v>41760</v>
      </c>
      <c r="J205" s="8">
        <f t="shared" si="11"/>
        <v>0</v>
      </c>
      <c r="K205" s="8">
        <f>IFERROR(INDEX(T_OrdenesTrabajo[En_Filtro],MATCH(B205,T_OrdenesTrabajo[ID_OT],0)),0)</f>
        <v>1</v>
      </c>
    </row>
    <row r="206" spans="1:11" x14ac:dyDescent="0.25">
      <c r="A206" s="8" t="s">
        <v>1369</v>
      </c>
      <c r="B206" s="8" t="s">
        <v>590</v>
      </c>
      <c r="C206" s="8" t="s">
        <v>1164</v>
      </c>
      <c r="D206" s="8" t="s">
        <v>54</v>
      </c>
      <c r="E206" s="8">
        <v>2</v>
      </c>
      <c r="F206" s="10">
        <v>98930</v>
      </c>
      <c r="G206" s="10">
        <v>107890</v>
      </c>
      <c r="H206" s="10">
        <f t="shared" si="9"/>
        <v>197860</v>
      </c>
      <c r="I206" s="10">
        <f t="shared" si="10"/>
        <v>215780</v>
      </c>
      <c r="J206" s="8">
        <f t="shared" si="11"/>
        <v>0</v>
      </c>
      <c r="K206" s="8">
        <f>IFERROR(INDEX(T_OrdenesTrabajo[En_Filtro],MATCH(B206,T_OrdenesTrabajo[ID_OT],0)),0)</f>
        <v>1</v>
      </c>
    </row>
    <row r="207" spans="1:11" x14ac:dyDescent="0.25">
      <c r="A207" s="8" t="s">
        <v>1370</v>
      </c>
      <c r="B207" s="8" t="s">
        <v>590</v>
      </c>
      <c r="C207" s="8" t="s">
        <v>1167</v>
      </c>
      <c r="D207" s="8" t="s">
        <v>231</v>
      </c>
      <c r="E207" s="8">
        <v>5</v>
      </c>
      <c r="F207" s="10">
        <v>14800</v>
      </c>
      <c r="G207" s="10">
        <v>25100</v>
      </c>
      <c r="H207" s="10">
        <f t="shared" si="9"/>
        <v>74000</v>
      </c>
      <c r="I207" s="10">
        <f t="shared" si="10"/>
        <v>125500</v>
      </c>
      <c r="J207" s="8">
        <f t="shared" si="11"/>
        <v>0</v>
      </c>
      <c r="K207" s="8">
        <f>IFERROR(INDEX(T_OrdenesTrabajo[En_Filtro],MATCH(B207,T_OrdenesTrabajo[ID_OT],0)),0)</f>
        <v>1</v>
      </c>
    </row>
    <row r="208" spans="1:11" x14ac:dyDescent="0.25">
      <c r="A208" s="8" t="s">
        <v>1371</v>
      </c>
      <c r="B208" s="8" t="s">
        <v>595</v>
      </c>
      <c r="C208" s="8" t="s">
        <v>1164</v>
      </c>
      <c r="D208" s="8" t="s">
        <v>57</v>
      </c>
      <c r="E208" s="8">
        <v>4</v>
      </c>
      <c r="F208" s="10">
        <v>118400</v>
      </c>
      <c r="G208" s="10">
        <v>166460</v>
      </c>
      <c r="H208" s="10">
        <f t="shared" si="9"/>
        <v>473600</v>
      </c>
      <c r="I208" s="10">
        <f t="shared" si="10"/>
        <v>665840</v>
      </c>
      <c r="J208" s="8">
        <f t="shared" si="11"/>
        <v>0</v>
      </c>
      <c r="K208" s="8">
        <f>IFERROR(INDEX(T_OrdenesTrabajo[En_Filtro],MATCH(B208,T_OrdenesTrabajo[ID_OT],0)),0)</f>
        <v>1</v>
      </c>
    </row>
    <row r="209" spans="1:11" x14ac:dyDescent="0.25">
      <c r="A209" s="8" t="s">
        <v>1372</v>
      </c>
      <c r="B209" s="8" t="s">
        <v>595</v>
      </c>
      <c r="C209" s="8" t="s">
        <v>1167</v>
      </c>
      <c r="D209" s="8" t="s">
        <v>214</v>
      </c>
      <c r="E209" s="8">
        <v>3</v>
      </c>
      <c r="F209" s="10">
        <v>12600</v>
      </c>
      <c r="G209" s="10">
        <v>24700</v>
      </c>
      <c r="H209" s="10">
        <f t="shared" si="9"/>
        <v>37800</v>
      </c>
      <c r="I209" s="10">
        <f t="shared" si="10"/>
        <v>74100</v>
      </c>
      <c r="J209" s="8">
        <f t="shared" si="11"/>
        <v>0</v>
      </c>
      <c r="K209" s="8">
        <f>IFERROR(INDEX(T_OrdenesTrabajo[En_Filtro],MATCH(B209,T_OrdenesTrabajo[ID_OT],0)),0)</f>
        <v>1</v>
      </c>
    </row>
    <row r="210" spans="1:11" x14ac:dyDescent="0.25">
      <c r="A210" s="8" t="s">
        <v>1373</v>
      </c>
      <c r="B210" s="8" t="s">
        <v>600</v>
      </c>
      <c r="C210" s="8" t="s">
        <v>1164</v>
      </c>
      <c r="D210" s="8" t="s">
        <v>59</v>
      </c>
      <c r="E210" s="8">
        <v>2</v>
      </c>
      <c r="F210" s="10">
        <v>14750</v>
      </c>
      <c r="G210" s="10">
        <v>20040</v>
      </c>
      <c r="H210" s="10">
        <f t="shared" si="9"/>
        <v>29500</v>
      </c>
      <c r="I210" s="10">
        <f t="shared" si="10"/>
        <v>40080</v>
      </c>
      <c r="J210" s="8">
        <f t="shared" si="11"/>
        <v>0</v>
      </c>
      <c r="K210" s="8">
        <f>IFERROR(INDEX(T_OrdenesTrabajo[En_Filtro],MATCH(B210,T_OrdenesTrabajo[ID_OT],0)),0)</f>
        <v>1</v>
      </c>
    </row>
    <row r="211" spans="1:11" x14ac:dyDescent="0.25">
      <c r="A211" s="8" t="s">
        <v>1374</v>
      </c>
      <c r="B211" s="8" t="s">
        <v>600</v>
      </c>
      <c r="C211" s="8" t="s">
        <v>1164</v>
      </c>
      <c r="D211" s="8" t="s">
        <v>63</v>
      </c>
      <c r="E211" s="8">
        <v>2</v>
      </c>
      <c r="F211" s="10">
        <v>63100</v>
      </c>
      <c r="G211" s="10">
        <v>84080</v>
      </c>
      <c r="H211" s="10">
        <f t="shared" si="9"/>
        <v>126200</v>
      </c>
      <c r="I211" s="10">
        <f t="shared" si="10"/>
        <v>168160</v>
      </c>
      <c r="J211" s="8">
        <f t="shared" si="11"/>
        <v>0</v>
      </c>
      <c r="K211" s="8">
        <f>IFERROR(INDEX(T_OrdenesTrabajo[En_Filtro],MATCH(B211,T_OrdenesTrabajo[ID_OT],0)),0)</f>
        <v>1</v>
      </c>
    </row>
    <row r="212" spans="1:11" x14ac:dyDescent="0.25">
      <c r="A212" s="8" t="s">
        <v>1375</v>
      </c>
      <c r="B212" s="8" t="s">
        <v>600</v>
      </c>
      <c r="C212" s="8" t="s">
        <v>1167</v>
      </c>
      <c r="D212" s="8" t="s">
        <v>217</v>
      </c>
      <c r="E212" s="8">
        <v>14</v>
      </c>
      <c r="F212" s="10">
        <v>11900</v>
      </c>
      <c r="G212" s="10">
        <v>21400</v>
      </c>
      <c r="H212" s="10">
        <f t="shared" si="9"/>
        <v>166600</v>
      </c>
      <c r="I212" s="10">
        <f t="shared" si="10"/>
        <v>299600</v>
      </c>
      <c r="J212" s="8">
        <f t="shared" si="11"/>
        <v>0</v>
      </c>
      <c r="K212" s="8">
        <f>IFERROR(INDEX(T_OrdenesTrabajo[En_Filtro],MATCH(B212,T_OrdenesTrabajo[ID_OT],0)),0)</f>
        <v>1</v>
      </c>
    </row>
    <row r="213" spans="1:11" x14ac:dyDescent="0.25">
      <c r="A213" s="8" t="s">
        <v>1376</v>
      </c>
      <c r="B213" s="8" t="s">
        <v>605</v>
      </c>
      <c r="C213" s="8" t="s">
        <v>1164</v>
      </c>
      <c r="D213" s="8" t="s">
        <v>57</v>
      </c>
      <c r="E213" s="8">
        <v>4</v>
      </c>
      <c r="F213" s="10">
        <v>125850</v>
      </c>
      <c r="G213" s="10">
        <v>163560</v>
      </c>
      <c r="H213" s="10">
        <f t="shared" si="9"/>
        <v>503400</v>
      </c>
      <c r="I213" s="10">
        <f t="shared" si="10"/>
        <v>654240</v>
      </c>
      <c r="J213" s="8">
        <f t="shared" si="11"/>
        <v>0</v>
      </c>
      <c r="K213" s="8">
        <f>IFERROR(INDEX(T_OrdenesTrabajo[En_Filtro],MATCH(B213,T_OrdenesTrabajo[ID_OT],0)),0)</f>
        <v>1</v>
      </c>
    </row>
    <row r="214" spans="1:11" x14ac:dyDescent="0.25">
      <c r="A214" s="8" t="s">
        <v>1377</v>
      </c>
      <c r="B214" s="8" t="s">
        <v>605</v>
      </c>
      <c r="C214" s="8" t="s">
        <v>1167</v>
      </c>
      <c r="D214" s="8" t="s">
        <v>219</v>
      </c>
      <c r="E214" s="8">
        <v>9</v>
      </c>
      <c r="F214" s="10">
        <v>12300</v>
      </c>
      <c r="G214" s="10">
        <v>24000</v>
      </c>
      <c r="H214" s="10">
        <f t="shared" si="9"/>
        <v>110700</v>
      </c>
      <c r="I214" s="10">
        <f t="shared" si="10"/>
        <v>216000</v>
      </c>
      <c r="J214" s="8">
        <f t="shared" si="11"/>
        <v>0</v>
      </c>
      <c r="K214" s="8">
        <f>IFERROR(INDEX(T_OrdenesTrabajo[En_Filtro],MATCH(B214,T_OrdenesTrabajo[ID_OT],0)),0)</f>
        <v>1</v>
      </c>
    </row>
    <row r="215" spans="1:11" x14ac:dyDescent="0.25">
      <c r="A215" s="8" t="s">
        <v>1378</v>
      </c>
      <c r="B215" s="8" t="s">
        <v>605</v>
      </c>
      <c r="C215" s="8" t="s">
        <v>1167</v>
      </c>
      <c r="D215" s="8" t="s">
        <v>217</v>
      </c>
      <c r="E215" s="8">
        <v>4</v>
      </c>
      <c r="F215" s="10">
        <v>11400</v>
      </c>
      <c r="G215" s="10">
        <v>23600</v>
      </c>
      <c r="H215" s="10">
        <f t="shared" si="9"/>
        <v>45600</v>
      </c>
      <c r="I215" s="10">
        <f t="shared" si="10"/>
        <v>94400</v>
      </c>
      <c r="J215" s="8">
        <f t="shared" si="11"/>
        <v>0</v>
      </c>
      <c r="K215" s="8">
        <f>IFERROR(INDEX(T_OrdenesTrabajo[En_Filtro],MATCH(B215,T_OrdenesTrabajo[ID_OT],0)),0)</f>
        <v>1</v>
      </c>
    </row>
    <row r="216" spans="1:11" x14ac:dyDescent="0.25">
      <c r="A216" s="8" t="s">
        <v>1379</v>
      </c>
      <c r="B216" s="8" t="s">
        <v>610</v>
      </c>
      <c r="C216" s="8" t="s">
        <v>1164</v>
      </c>
      <c r="D216" s="8" t="s">
        <v>54</v>
      </c>
      <c r="E216" s="8">
        <v>3</v>
      </c>
      <c r="F216" s="10">
        <v>99580</v>
      </c>
      <c r="G216" s="10">
        <v>118500</v>
      </c>
      <c r="H216" s="10">
        <f t="shared" si="9"/>
        <v>298740</v>
      </c>
      <c r="I216" s="10">
        <f t="shared" si="10"/>
        <v>355500</v>
      </c>
      <c r="J216" s="8">
        <f t="shared" si="11"/>
        <v>0</v>
      </c>
      <c r="K216" s="8">
        <f>IFERROR(INDEX(T_OrdenesTrabajo[En_Filtro],MATCH(B216,T_OrdenesTrabajo[ID_OT],0)),0)</f>
        <v>1</v>
      </c>
    </row>
    <row r="217" spans="1:11" x14ac:dyDescent="0.25">
      <c r="A217" s="8" t="s">
        <v>1380</v>
      </c>
      <c r="B217" s="8" t="s">
        <v>610</v>
      </c>
      <c r="C217" s="8" t="s">
        <v>1167</v>
      </c>
      <c r="D217" s="8" t="s">
        <v>219</v>
      </c>
      <c r="E217" s="8">
        <v>13</v>
      </c>
      <c r="F217" s="10">
        <v>13800</v>
      </c>
      <c r="G217" s="10">
        <v>24300</v>
      </c>
      <c r="H217" s="10">
        <f t="shared" si="9"/>
        <v>179400</v>
      </c>
      <c r="I217" s="10">
        <f t="shared" si="10"/>
        <v>315900</v>
      </c>
      <c r="J217" s="8">
        <f t="shared" si="11"/>
        <v>0</v>
      </c>
      <c r="K217" s="8">
        <f>IFERROR(INDEX(T_OrdenesTrabajo[En_Filtro],MATCH(B217,T_OrdenesTrabajo[ID_OT],0)),0)</f>
        <v>1</v>
      </c>
    </row>
    <row r="218" spans="1:11" x14ac:dyDescent="0.25">
      <c r="A218" s="8" t="s">
        <v>1381</v>
      </c>
      <c r="B218" s="8" t="s">
        <v>610</v>
      </c>
      <c r="C218" s="8" t="s">
        <v>1167</v>
      </c>
      <c r="D218" s="8" t="s">
        <v>217</v>
      </c>
      <c r="E218" s="8">
        <v>6</v>
      </c>
      <c r="F218" s="10">
        <v>12100</v>
      </c>
      <c r="G218" s="10">
        <v>23600</v>
      </c>
      <c r="H218" s="10">
        <f t="shared" si="9"/>
        <v>72600</v>
      </c>
      <c r="I218" s="10">
        <f t="shared" si="10"/>
        <v>141600</v>
      </c>
      <c r="J218" s="8">
        <f t="shared" si="11"/>
        <v>0</v>
      </c>
      <c r="K218" s="8">
        <f>IFERROR(INDEX(T_OrdenesTrabajo[En_Filtro],MATCH(B218,T_OrdenesTrabajo[ID_OT],0)),0)</f>
        <v>1</v>
      </c>
    </row>
    <row r="219" spans="1:11" x14ac:dyDescent="0.25">
      <c r="A219" s="8" t="s">
        <v>1382</v>
      </c>
      <c r="B219" s="8" t="s">
        <v>615</v>
      </c>
      <c r="C219" s="8" t="s">
        <v>1164</v>
      </c>
      <c r="D219" s="8" t="s">
        <v>47</v>
      </c>
      <c r="E219" s="8">
        <v>2</v>
      </c>
      <c r="F219" s="10">
        <v>9810</v>
      </c>
      <c r="G219" s="10">
        <v>7820</v>
      </c>
      <c r="H219" s="10">
        <f t="shared" si="9"/>
        <v>19620</v>
      </c>
      <c r="I219" s="10">
        <f t="shared" si="10"/>
        <v>15640</v>
      </c>
      <c r="J219" s="8">
        <f t="shared" si="11"/>
        <v>0</v>
      </c>
      <c r="K219" s="8">
        <f>IFERROR(INDEX(T_OrdenesTrabajo[En_Filtro],MATCH(B219,T_OrdenesTrabajo[ID_OT],0)),0)</f>
        <v>1</v>
      </c>
    </row>
    <row r="220" spans="1:11" x14ac:dyDescent="0.25">
      <c r="A220" s="8" t="s">
        <v>1383</v>
      </c>
      <c r="B220" s="8" t="s">
        <v>615</v>
      </c>
      <c r="C220" s="8" t="s">
        <v>1164</v>
      </c>
      <c r="D220" s="8" t="s">
        <v>24</v>
      </c>
      <c r="E220" s="8">
        <v>2</v>
      </c>
      <c r="F220" s="10">
        <v>368810</v>
      </c>
      <c r="G220" s="10">
        <v>261030</v>
      </c>
      <c r="H220" s="10">
        <f t="shared" si="9"/>
        <v>737620</v>
      </c>
      <c r="I220" s="10">
        <f t="shared" si="10"/>
        <v>522060</v>
      </c>
      <c r="J220" s="8">
        <f t="shared" si="11"/>
        <v>0</v>
      </c>
      <c r="K220" s="8">
        <f>IFERROR(INDEX(T_OrdenesTrabajo[En_Filtro],MATCH(B220,T_OrdenesTrabajo[ID_OT],0)),0)</f>
        <v>1</v>
      </c>
    </row>
    <row r="221" spans="1:11" x14ac:dyDescent="0.25">
      <c r="A221" s="8" t="s">
        <v>1384</v>
      </c>
      <c r="B221" s="8" t="s">
        <v>615</v>
      </c>
      <c r="C221" s="8" t="s">
        <v>1167</v>
      </c>
      <c r="D221" s="8" t="s">
        <v>217</v>
      </c>
      <c r="E221" s="8">
        <v>11</v>
      </c>
      <c r="F221" s="10">
        <v>13100</v>
      </c>
      <c r="G221" s="10">
        <v>13100</v>
      </c>
      <c r="H221" s="10">
        <f t="shared" si="9"/>
        <v>144100</v>
      </c>
      <c r="I221" s="10">
        <f t="shared" si="10"/>
        <v>144100</v>
      </c>
      <c r="J221" s="8">
        <f t="shared" si="11"/>
        <v>0</v>
      </c>
      <c r="K221" s="8">
        <f>IFERROR(INDEX(T_OrdenesTrabajo[En_Filtro],MATCH(B221,T_OrdenesTrabajo[ID_OT],0)),0)</f>
        <v>1</v>
      </c>
    </row>
    <row r="222" spans="1:11" x14ac:dyDescent="0.25">
      <c r="A222" s="8" t="s">
        <v>1385</v>
      </c>
      <c r="B222" s="8" t="s">
        <v>620</v>
      </c>
      <c r="C222" s="8" t="s">
        <v>1164</v>
      </c>
      <c r="D222" s="8" t="s">
        <v>57</v>
      </c>
      <c r="E222" s="8">
        <v>3</v>
      </c>
      <c r="F222" s="10">
        <v>123470</v>
      </c>
      <c r="G222" s="10">
        <v>150230</v>
      </c>
      <c r="H222" s="10">
        <f t="shared" si="9"/>
        <v>370410</v>
      </c>
      <c r="I222" s="10">
        <f t="shared" si="10"/>
        <v>450690</v>
      </c>
      <c r="J222" s="8">
        <f t="shared" si="11"/>
        <v>0</v>
      </c>
      <c r="K222" s="8">
        <f>IFERROR(INDEX(T_OrdenesTrabajo[En_Filtro],MATCH(B222,T_OrdenesTrabajo[ID_OT],0)),0)</f>
        <v>1</v>
      </c>
    </row>
    <row r="223" spans="1:11" x14ac:dyDescent="0.25">
      <c r="A223" s="8" t="s">
        <v>1386</v>
      </c>
      <c r="B223" s="8" t="s">
        <v>620</v>
      </c>
      <c r="C223" s="8" t="s">
        <v>1164</v>
      </c>
      <c r="D223" s="8" t="s">
        <v>65</v>
      </c>
      <c r="E223" s="8">
        <v>1</v>
      </c>
      <c r="F223" s="10">
        <v>23100</v>
      </c>
      <c r="G223" s="10">
        <v>33840</v>
      </c>
      <c r="H223" s="10">
        <f t="shared" si="9"/>
        <v>23100</v>
      </c>
      <c r="I223" s="10">
        <f t="shared" si="10"/>
        <v>33840</v>
      </c>
      <c r="J223" s="8">
        <f t="shared" si="11"/>
        <v>0</v>
      </c>
      <c r="K223" s="8">
        <f>IFERROR(INDEX(T_OrdenesTrabajo[En_Filtro],MATCH(B223,T_OrdenesTrabajo[ID_OT],0)),0)</f>
        <v>1</v>
      </c>
    </row>
    <row r="224" spans="1:11" x14ac:dyDescent="0.25">
      <c r="A224" s="8" t="s">
        <v>1387</v>
      </c>
      <c r="B224" s="8" t="s">
        <v>620</v>
      </c>
      <c r="C224" s="8" t="s">
        <v>1164</v>
      </c>
      <c r="D224" s="8" t="s">
        <v>15</v>
      </c>
      <c r="E224" s="8">
        <v>2</v>
      </c>
      <c r="F224" s="10"/>
      <c r="G224" s="10">
        <v>32120</v>
      </c>
      <c r="H224" s="10" t="str">
        <f t="shared" si="9"/>
        <v/>
      </c>
      <c r="I224" s="10">
        <f t="shared" si="10"/>
        <v>64240</v>
      </c>
      <c r="J224" s="8">
        <f t="shared" si="11"/>
        <v>1</v>
      </c>
      <c r="K224" s="8">
        <f>IFERROR(INDEX(T_OrdenesTrabajo[En_Filtro],MATCH(B224,T_OrdenesTrabajo[ID_OT],0)),0)</f>
        <v>1</v>
      </c>
    </row>
    <row r="225" spans="1:11" x14ac:dyDescent="0.25">
      <c r="A225" s="8" t="s">
        <v>1388</v>
      </c>
      <c r="B225" s="8" t="s">
        <v>620</v>
      </c>
      <c r="C225" s="8" t="s">
        <v>1167</v>
      </c>
      <c r="D225" s="8" t="s">
        <v>219</v>
      </c>
      <c r="E225" s="8">
        <v>9</v>
      </c>
      <c r="F225" s="10">
        <v>11400</v>
      </c>
      <c r="G225" s="10">
        <v>24900</v>
      </c>
      <c r="H225" s="10">
        <f t="shared" si="9"/>
        <v>102600</v>
      </c>
      <c r="I225" s="10">
        <f t="shared" si="10"/>
        <v>224100</v>
      </c>
      <c r="J225" s="8">
        <f t="shared" si="11"/>
        <v>0</v>
      </c>
      <c r="K225" s="8">
        <f>IFERROR(INDEX(T_OrdenesTrabajo[En_Filtro],MATCH(B225,T_OrdenesTrabajo[ID_OT],0)),0)</f>
        <v>1</v>
      </c>
    </row>
    <row r="226" spans="1:11" x14ac:dyDescent="0.25">
      <c r="A226" s="8" t="s">
        <v>1389</v>
      </c>
      <c r="B226" s="8" t="s">
        <v>620</v>
      </c>
      <c r="C226" s="8" t="s">
        <v>1167</v>
      </c>
      <c r="D226" s="8" t="s">
        <v>214</v>
      </c>
      <c r="E226" s="8">
        <v>7</v>
      </c>
      <c r="F226" s="10">
        <v>11300</v>
      </c>
      <c r="G226" s="10">
        <v>24500</v>
      </c>
      <c r="H226" s="10">
        <f t="shared" si="9"/>
        <v>79100</v>
      </c>
      <c r="I226" s="10">
        <f t="shared" si="10"/>
        <v>171500</v>
      </c>
      <c r="J226" s="8">
        <f t="shared" si="11"/>
        <v>0</v>
      </c>
      <c r="K226" s="8">
        <f>IFERROR(INDEX(T_OrdenesTrabajo[En_Filtro],MATCH(B226,T_OrdenesTrabajo[ID_OT],0)),0)</f>
        <v>1</v>
      </c>
    </row>
    <row r="227" spans="1:11" x14ac:dyDescent="0.25">
      <c r="A227" s="8" t="s">
        <v>1390</v>
      </c>
      <c r="B227" s="8" t="s">
        <v>625</v>
      </c>
      <c r="C227" s="8" t="s">
        <v>1164</v>
      </c>
      <c r="D227" s="8" t="s">
        <v>27</v>
      </c>
      <c r="E227" s="8">
        <v>1</v>
      </c>
      <c r="F227" s="10">
        <v>106090</v>
      </c>
      <c r="G227" s="10">
        <v>98220</v>
      </c>
      <c r="H227" s="10">
        <f t="shared" si="9"/>
        <v>106090</v>
      </c>
      <c r="I227" s="10">
        <f t="shared" si="10"/>
        <v>98220</v>
      </c>
      <c r="J227" s="8">
        <f t="shared" si="11"/>
        <v>0</v>
      </c>
      <c r="K227" s="8">
        <f>IFERROR(INDEX(T_OrdenesTrabajo[En_Filtro],MATCH(B227,T_OrdenesTrabajo[ID_OT],0)),0)</f>
        <v>1</v>
      </c>
    </row>
    <row r="228" spans="1:11" x14ac:dyDescent="0.25">
      <c r="A228" s="8" t="s">
        <v>1391</v>
      </c>
      <c r="B228" s="8" t="s">
        <v>625</v>
      </c>
      <c r="C228" s="8" t="s">
        <v>1164</v>
      </c>
      <c r="D228" s="8" t="s">
        <v>42</v>
      </c>
      <c r="E228" s="8">
        <v>2</v>
      </c>
      <c r="F228" s="10">
        <v>39190</v>
      </c>
      <c r="G228" s="10">
        <v>38020</v>
      </c>
      <c r="H228" s="10">
        <f t="shared" si="9"/>
        <v>78380</v>
      </c>
      <c r="I228" s="10">
        <f t="shared" si="10"/>
        <v>76040</v>
      </c>
      <c r="J228" s="8">
        <f t="shared" si="11"/>
        <v>0</v>
      </c>
      <c r="K228" s="8">
        <f>IFERROR(INDEX(T_OrdenesTrabajo[En_Filtro],MATCH(B228,T_OrdenesTrabajo[ID_OT],0)),0)</f>
        <v>1</v>
      </c>
    </row>
    <row r="229" spans="1:11" x14ac:dyDescent="0.25">
      <c r="A229" s="8" t="s">
        <v>1392</v>
      </c>
      <c r="B229" s="8" t="s">
        <v>625</v>
      </c>
      <c r="C229" s="8" t="s">
        <v>1167</v>
      </c>
      <c r="D229" s="8" t="s">
        <v>221</v>
      </c>
      <c r="E229" s="8">
        <v>23</v>
      </c>
      <c r="F229" s="10">
        <v>14500</v>
      </c>
      <c r="G229" s="10">
        <v>19700</v>
      </c>
      <c r="H229" s="10">
        <f t="shared" si="9"/>
        <v>333500</v>
      </c>
      <c r="I229" s="10">
        <f t="shared" si="10"/>
        <v>453100</v>
      </c>
      <c r="J229" s="8">
        <f t="shared" si="11"/>
        <v>0</v>
      </c>
      <c r="K229" s="8">
        <f>IFERROR(INDEX(T_OrdenesTrabajo[En_Filtro],MATCH(B229,T_OrdenesTrabajo[ID_OT],0)),0)</f>
        <v>1</v>
      </c>
    </row>
    <row r="230" spans="1:11" x14ac:dyDescent="0.25">
      <c r="A230" s="8" t="s">
        <v>1393</v>
      </c>
      <c r="B230" s="8" t="s">
        <v>630</v>
      </c>
      <c r="C230" s="8" t="s">
        <v>1164</v>
      </c>
      <c r="D230" s="8" t="s">
        <v>15</v>
      </c>
      <c r="E230" s="8">
        <v>2</v>
      </c>
      <c r="F230" s="10">
        <v>24060</v>
      </c>
      <c r="G230" s="10">
        <v>32240</v>
      </c>
      <c r="H230" s="10">
        <f t="shared" si="9"/>
        <v>48120</v>
      </c>
      <c r="I230" s="10">
        <f t="shared" si="10"/>
        <v>64480</v>
      </c>
      <c r="J230" s="8">
        <f t="shared" si="11"/>
        <v>0</v>
      </c>
      <c r="K230" s="8">
        <f>IFERROR(INDEX(T_OrdenesTrabajo[En_Filtro],MATCH(B230,T_OrdenesTrabajo[ID_OT],0)),0)</f>
        <v>1</v>
      </c>
    </row>
    <row r="231" spans="1:11" x14ac:dyDescent="0.25">
      <c r="A231" s="8" t="s">
        <v>1394</v>
      </c>
      <c r="B231" s="8" t="s">
        <v>630</v>
      </c>
      <c r="C231" s="8" t="s">
        <v>1164</v>
      </c>
      <c r="D231" s="8" t="s">
        <v>13</v>
      </c>
      <c r="E231" s="8">
        <v>2</v>
      </c>
      <c r="F231" s="10">
        <v>31290</v>
      </c>
      <c r="G231" s="10">
        <v>38520</v>
      </c>
      <c r="H231" s="10">
        <f t="shared" si="9"/>
        <v>62580</v>
      </c>
      <c r="I231" s="10">
        <f t="shared" si="10"/>
        <v>77040</v>
      </c>
      <c r="J231" s="8">
        <f t="shared" si="11"/>
        <v>0</v>
      </c>
      <c r="K231" s="8">
        <f>IFERROR(INDEX(T_OrdenesTrabajo[En_Filtro],MATCH(B231,T_OrdenesTrabajo[ID_OT],0)),0)</f>
        <v>1</v>
      </c>
    </row>
    <row r="232" spans="1:11" x14ac:dyDescent="0.25">
      <c r="A232" s="8" t="s">
        <v>1395</v>
      </c>
      <c r="B232" s="8" t="s">
        <v>630</v>
      </c>
      <c r="C232" s="8" t="s">
        <v>1164</v>
      </c>
      <c r="D232" s="8" t="s">
        <v>20</v>
      </c>
      <c r="E232" s="8">
        <v>23</v>
      </c>
      <c r="F232" s="10">
        <v>6660</v>
      </c>
      <c r="G232" s="10"/>
      <c r="H232" s="10">
        <f t="shared" si="9"/>
        <v>153180</v>
      </c>
      <c r="I232" s="10" t="str">
        <f t="shared" si="10"/>
        <v/>
      </c>
      <c r="J232" s="8">
        <f t="shared" si="11"/>
        <v>1</v>
      </c>
      <c r="K232" s="8">
        <f>IFERROR(INDEX(T_OrdenesTrabajo[En_Filtro],MATCH(B232,T_OrdenesTrabajo[ID_OT],0)),0)</f>
        <v>1</v>
      </c>
    </row>
    <row r="233" spans="1:11" x14ac:dyDescent="0.25">
      <c r="A233" s="8" t="s">
        <v>1396</v>
      </c>
      <c r="B233" s="8" t="s">
        <v>630</v>
      </c>
      <c r="C233" s="8" t="s">
        <v>1167</v>
      </c>
      <c r="D233" s="8" t="s">
        <v>217</v>
      </c>
      <c r="E233" s="8">
        <v>3</v>
      </c>
      <c r="F233" s="10">
        <v>12200</v>
      </c>
      <c r="G233" s="10">
        <v>23100</v>
      </c>
      <c r="H233" s="10">
        <f t="shared" si="9"/>
        <v>36600</v>
      </c>
      <c r="I233" s="10">
        <f t="shared" si="10"/>
        <v>69300</v>
      </c>
      <c r="J233" s="8">
        <f t="shared" si="11"/>
        <v>0</v>
      </c>
      <c r="K233" s="8">
        <f>IFERROR(INDEX(T_OrdenesTrabajo[En_Filtro],MATCH(B233,T_OrdenesTrabajo[ID_OT],0)),0)</f>
        <v>1</v>
      </c>
    </row>
    <row r="234" spans="1:11" x14ac:dyDescent="0.25">
      <c r="A234" s="8" t="s">
        <v>1397</v>
      </c>
      <c r="B234" s="8" t="s">
        <v>635</v>
      </c>
      <c r="C234" s="8" t="s">
        <v>1164</v>
      </c>
      <c r="D234" s="8" t="s">
        <v>24</v>
      </c>
      <c r="E234" s="8">
        <v>2</v>
      </c>
      <c r="F234" s="10">
        <v>430640</v>
      </c>
      <c r="G234" s="10">
        <v>634500</v>
      </c>
      <c r="H234" s="10">
        <f t="shared" si="9"/>
        <v>861280</v>
      </c>
      <c r="I234" s="10">
        <f t="shared" si="10"/>
        <v>1269000</v>
      </c>
      <c r="J234" s="8">
        <f t="shared" si="11"/>
        <v>0</v>
      </c>
      <c r="K234" s="8">
        <f>IFERROR(INDEX(T_OrdenesTrabajo[En_Filtro],MATCH(B234,T_OrdenesTrabajo[ID_OT],0)),0)</f>
        <v>1</v>
      </c>
    </row>
    <row r="235" spans="1:11" x14ac:dyDescent="0.25">
      <c r="A235" s="8" t="s">
        <v>1398</v>
      </c>
      <c r="B235" s="8" t="s">
        <v>635</v>
      </c>
      <c r="C235" s="8" t="s">
        <v>1164</v>
      </c>
      <c r="D235" s="8" t="s">
        <v>42</v>
      </c>
      <c r="E235" s="8">
        <v>3</v>
      </c>
      <c r="F235" s="10">
        <v>37080</v>
      </c>
      <c r="G235" s="10">
        <v>45320</v>
      </c>
      <c r="H235" s="10">
        <f t="shared" si="9"/>
        <v>111240</v>
      </c>
      <c r="I235" s="10">
        <f t="shared" si="10"/>
        <v>135960</v>
      </c>
      <c r="J235" s="8">
        <f t="shared" si="11"/>
        <v>0</v>
      </c>
      <c r="K235" s="8">
        <f>IFERROR(INDEX(T_OrdenesTrabajo[En_Filtro],MATCH(B235,T_OrdenesTrabajo[ID_OT],0)),0)</f>
        <v>1</v>
      </c>
    </row>
    <row r="236" spans="1:11" x14ac:dyDescent="0.25">
      <c r="A236" s="8" t="s">
        <v>1399</v>
      </c>
      <c r="B236" s="8" t="s">
        <v>635</v>
      </c>
      <c r="C236" s="8" t="s">
        <v>1167</v>
      </c>
      <c r="D236" s="8" t="s">
        <v>226</v>
      </c>
      <c r="E236" s="8">
        <v>16</v>
      </c>
      <c r="F236" s="10">
        <v>13200</v>
      </c>
      <c r="G236" s="10">
        <v>24800</v>
      </c>
      <c r="H236" s="10">
        <f t="shared" si="9"/>
        <v>211200</v>
      </c>
      <c r="I236" s="10">
        <f t="shared" si="10"/>
        <v>396800</v>
      </c>
      <c r="J236" s="8">
        <f t="shared" si="11"/>
        <v>0</v>
      </c>
      <c r="K236" s="8">
        <f>IFERROR(INDEX(T_OrdenesTrabajo[En_Filtro],MATCH(B236,T_OrdenesTrabajo[ID_OT],0)),0)</f>
        <v>1</v>
      </c>
    </row>
    <row r="237" spans="1:11" x14ac:dyDescent="0.25">
      <c r="A237" s="8" t="s">
        <v>1400</v>
      </c>
      <c r="B237" s="8" t="s">
        <v>635</v>
      </c>
      <c r="C237" s="8" t="s">
        <v>1167</v>
      </c>
      <c r="D237" s="8" t="s">
        <v>224</v>
      </c>
      <c r="E237" s="8">
        <v>16</v>
      </c>
      <c r="F237" s="10">
        <v>13700</v>
      </c>
      <c r="G237" s="10">
        <v>23800</v>
      </c>
      <c r="H237" s="10">
        <f t="shared" si="9"/>
        <v>219200</v>
      </c>
      <c r="I237" s="10">
        <f t="shared" si="10"/>
        <v>380800</v>
      </c>
      <c r="J237" s="8">
        <f t="shared" si="11"/>
        <v>0</v>
      </c>
      <c r="K237" s="8">
        <f>IFERROR(INDEX(T_OrdenesTrabajo[En_Filtro],MATCH(B237,T_OrdenesTrabajo[ID_OT],0)),0)</f>
        <v>1</v>
      </c>
    </row>
    <row r="238" spans="1:11" x14ac:dyDescent="0.25">
      <c r="A238" s="8" t="s">
        <v>1401</v>
      </c>
      <c r="B238" s="8" t="s">
        <v>640</v>
      </c>
      <c r="C238" s="8" t="s">
        <v>1164</v>
      </c>
      <c r="D238" s="8" t="s">
        <v>13</v>
      </c>
      <c r="E238" s="8">
        <v>1</v>
      </c>
      <c r="F238" s="10">
        <v>31660</v>
      </c>
      <c r="G238" s="10">
        <v>38770</v>
      </c>
      <c r="H238" s="10">
        <f t="shared" si="9"/>
        <v>31660</v>
      </c>
      <c r="I238" s="10">
        <f t="shared" si="10"/>
        <v>38770</v>
      </c>
      <c r="J238" s="8">
        <f t="shared" si="11"/>
        <v>0</v>
      </c>
      <c r="K238" s="8">
        <f>IFERROR(INDEX(T_OrdenesTrabajo[En_Filtro],MATCH(B238,T_OrdenesTrabajo[ID_OT],0)),0)</f>
        <v>1</v>
      </c>
    </row>
    <row r="239" spans="1:11" x14ac:dyDescent="0.25">
      <c r="A239" s="8" t="s">
        <v>1402</v>
      </c>
      <c r="B239" s="8" t="s">
        <v>640</v>
      </c>
      <c r="C239" s="8" t="s">
        <v>1167</v>
      </c>
      <c r="D239" s="8" t="s">
        <v>214</v>
      </c>
      <c r="E239" s="8">
        <v>3</v>
      </c>
      <c r="F239" s="10">
        <v>13200</v>
      </c>
      <c r="G239" s="10">
        <v>21700</v>
      </c>
      <c r="H239" s="10">
        <f t="shared" si="9"/>
        <v>39600</v>
      </c>
      <c r="I239" s="10">
        <f t="shared" si="10"/>
        <v>65100</v>
      </c>
      <c r="J239" s="8">
        <f t="shared" si="11"/>
        <v>0</v>
      </c>
      <c r="K239" s="8">
        <f>IFERROR(INDEX(T_OrdenesTrabajo[En_Filtro],MATCH(B239,T_OrdenesTrabajo[ID_OT],0)),0)</f>
        <v>1</v>
      </c>
    </row>
    <row r="240" spans="1:11" x14ac:dyDescent="0.25">
      <c r="A240" s="8" t="s">
        <v>1403</v>
      </c>
      <c r="B240" s="8" t="s">
        <v>645</v>
      </c>
      <c r="C240" s="8" t="s">
        <v>1164</v>
      </c>
      <c r="D240" s="8" t="s">
        <v>20</v>
      </c>
      <c r="E240" s="8">
        <v>20</v>
      </c>
      <c r="F240" s="10">
        <v>5920</v>
      </c>
      <c r="G240" s="10">
        <v>8140</v>
      </c>
      <c r="H240" s="10">
        <f t="shared" si="9"/>
        <v>118400</v>
      </c>
      <c r="I240" s="10">
        <f t="shared" si="10"/>
        <v>162800</v>
      </c>
      <c r="J240" s="8">
        <f t="shared" si="11"/>
        <v>0</v>
      </c>
      <c r="K240" s="8">
        <f>IFERROR(INDEX(T_OrdenesTrabajo[En_Filtro],MATCH(B240,T_OrdenesTrabajo[ID_OT],0)),0)</f>
        <v>1</v>
      </c>
    </row>
    <row r="241" spans="1:11" x14ac:dyDescent="0.25">
      <c r="A241" s="8" t="s">
        <v>1404</v>
      </c>
      <c r="B241" s="8" t="s">
        <v>645</v>
      </c>
      <c r="C241" s="8" t="s">
        <v>1164</v>
      </c>
      <c r="D241" s="8" t="s">
        <v>13</v>
      </c>
      <c r="E241" s="8">
        <v>1</v>
      </c>
      <c r="F241" s="10">
        <v>30400</v>
      </c>
      <c r="G241" s="10">
        <v>39180</v>
      </c>
      <c r="H241" s="10">
        <f t="shared" si="9"/>
        <v>30400</v>
      </c>
      <c r="I241" s="10">
        <f t="shared" si="10"/>
        <v>39180</v>
      </c>
      <c r="J241" s="8">
        <f t="shared" si="11"/>
        <v>0</v>
      </c>
      <c r="K241" s="8">
        <f>IFERROR(INDEX(T_OrdenesTrabajo[En_Filtro],MATCH(B241,T_OrdenesTrabajo[ID_OT],0)),0)</f>
        <v>1</v>
      </c>
    </row>
    <row r="242" spans="1:11" x14ac:dyDescent="0.25">
      <c r="A242" s="8" t="s">
        <v>1405</v>
      </c>
      <c r="B242" s="8" t="s">
        <v>645</v>
      </c>
      <c r="C242" s="8" t="s">
        <v>1164</v>
      </c>
      <c r="D242" s="8" t="s">
        <v>9</v>
      </c>
      <c r="E242" s="8">
        <v>3</v>
      </c>
      <c r="F242" s="10">
        <v>14030</v>
      </c>
      <c r="G242" s="10">
        <v>16930</v>
      </c>
      <c r="H242" s="10">
        <f t="shared" si="9"/>
        <v>42090</v>
      </c>
      <c r="I242" s="10">
        <f t="shared" si="10"/>
        <v>50790</v>
      </c>
      <c r="J242" s="8">
        <f t="shared" si="11"/>
        <v>0</v>
      </c>
      <c r="K242" s="8">
        <f>IFERROR(INDEX(T_OrdenesTrabajo[En_Filtro],MATCH(B242,T_OrdenesTrabajo[ID_OT],0)),0)</f>
        <v>1</v>
      </c>
    </row>
    <row r="243" spans="1:11" x14ac:dyDescent="0.25">
      <c r="A243" s="8" t="s">
        <v>1406</v>
      </c>
      <c r="B243" s="8" t="s">
        <v>645</v>
      </c>
      <c r="C243" s="8" t="s">
        <v>1167</v>
      </c>
      <c r="D243" s="8" t="s">
        <v>219</v>
      </c>
      <c r="E243" s="8">
        <v>3</v>
      </c>
      <c r="F243" s="10">
        <v>12000</v>
      </c>
      <c r="G243" s="10">
        <v>21100</v>
      </c>
      <c r="H243" s="10">
        <f t="shared" si="9"/>
        <v>36000</v>
      </c>
      <c r="I243" s="10">
        <f t="shared" si="10"/>
        <v>63300</v>
      </c>
      <c r="J243" s="8">
        <f t="shared" si="11"/>
        <v>0</v>
      </c>
      <c r="K243" s="8">
        <f>IFERROR(INDEX(T_OrdenesTrabajo[En_Filtro],MATCH(B243,T_OrdenesTrabajo[ID_OT],0)),0)</f>
        <v>1</v>
      </c>
    </row>
    <row r="244" spans="1:11" x14ac:dyDescent="0.25">
      <c r="A244" s="8" t="s">
        <v>1407</v>
      </c>
      <c r="B244" s="8" t="s">
        <v>650</v>
      </c>
      <c r="C244" s="8" t="s">
        <v>1164</v>
      </c>
      <c r="D244" s="8" t="s">
        <v>22</v>
      </c>
      <c r="E244" s="8">
        <v>16</v>
      </c>
      <c r="F244" s="10">
        <v>4550</v>
      </c>
      <c r="G244" s="10">
        <v>6280</v>
      </c>
      <c r="H244" s="10">
        <f t="shared" si="9"/>
        <v>72800</v>
      </c>
      <c r="I244" s="10">
        <f t="shared" si="10"/>
        <v>100480</v>
      </c>
      <c r="J244" s="8">
        <f t="shared" si="11"/>
        <v>0</v>
      </c>
      <c r="K244" s="8">
        <f>IFERROR(INDEX(T_OrdenesTrabajo[En_Filtro],MATCH(B244,T_OrdenesTrabajo[ID_OT],0)),0)</f>
        <v>1</v>
      </c>
    </row>
    <row r="245" spans="1:11" x14ac:dyDescent="0.25">
      <c r="A245" s="8" t="s">
        <v>1408</v>
      </c>
      <c r="B245" s="8" t="s">
        <v>650</v>
      </c>
      <c r="C245" s="8" t="s">
        <v>1167</v>
      </c>
      <c r="D245" s="8" t="s">
        <v>214</v>
      </c>
      <c r="E245" s="8">
        <v>4</v>
      </c>
      <c r="F245" s="10">
        <v>12600</v>
      </c>
      <c r="G245" s="10">
        <v>24000</v>
      </c>
      <c r="H245" s="10">
        <f t="shared" si="9"/>
        <v>50400</v>
      </c>
      <c r="I245" s="10">
        <f t="shared" si="10"/>
        <v>96000</v>
      </c>
      <c r="J245" s="8">
        <f t="shared" si="11"/>
        <v>0</v>
      </c>
      <c r="K245" s="8">
        <f>IFERROR(INDEX(T_OrdenesTrabajo[En_Filtro],MATCH(B245,T_OrdenesTrabajo[ID_OT],0)),0)</f>
        <v>1</v>
      </c>
    </row>
    <row r="246" spans="1:11" x14ac:dyDescent="0.25">
      <c r="A246" s="8" t="s">
        <v>1409</v>
      </c>
      <c r="B246" s="8" t="s">
        <v>655</v>
      </c>
      <c r="C246" s="8" t="s">
        <v>1164</v>
      </c>
      <c r="D246" s="8" t="s">
        <v>45</v>
      </c>
      <c r="E246" s="8">
        <v>10</v>
      </c>
      <c r="F246" s="10">
        <v>27340</v>
      </c>
      <c r="G246" s="10">
        <v>25880</v>
      </c>
      <c r="H246" s="10">
        <f t="shared" si="9"/>
        <v>273400</v>
      </c>
      <c r="I246" s="10">
        <f t="shared" si="10"/>
        <v>258800</v>
      </c>
      <c r="J246" s="8">
        <f t="shared" si="11"/>
        <v>0</v>
      </c>
      <c r="K246" s="8">
        <f>IFERROR(INDEX(T_OrdenesTrabajo[En_Filtro],MATCH(B246,T_OrdenesTrabajo[ID_OT],0)),0)</f>
        <v>1</v>
      </c>
    </row>
    <row r="247" spans="1:11" x14ac:dyDescent="0.25">
      <c r="A247" s="8" t="s">
        <v>1410</v>
      </c>
      <c r="B247" s="8" t="s">
        <v>655</v>
      </c>
      <c r="C247" s="8" t="s">
        <v>1164</v>
      </c>
      <c r="D247" s="8" t="s">
        <v>42</v>
      </c>
      <c r="E247" s="8">
        <v>2</v>
      </c>
      <c r="F247" s="10">
        <v>41820</v>
      </c>
      <c r="G247" s="10">
        <v>39680</v>
      </c>
      <c r="H247" s="10">
        <f t="shared" si="9"/>
        <v>83640</v>
      </c>
      <c r="I247" s="10">
        <f t="shared" si="10"/>
        <v>79360</v>
      </c>
      <c r="J247" s="8">
        <f t="shared" si="11"/>
        <v>0</v>
      </c>
      <c r="K247" s="8">
        <f>IFERROR(INDEX(T_OrdenesTrabajo[En_Filtro],MATCH(B247,T_OrdenesTrabajo[ID_OT],0)),0)</f>
        <v>1</v>
      </c>
    </row>
    <row r="248" spans="1:11" x14ac:dyDescent="0.25">
      <c r="A248" s="8" t="s">
        <v>1411</v>
      </c>
      <c r="B248" s="8" t="s">
        <v>655</v>
      </c>
      <c r="C248" s="8" t="s">
        <v>1167</v>
      </c>
      <c r="D248" s="8" t="s">
        <v>224</v>
      </c>
      <c r="E248" s="8">
        <v>9</v>
      </c>
      <c r="F248" s="10">
        <v>12100</v>
      </c>
      <c r="G248" s="10">
        <v>20400</v>
      </c>
      <c r="H248" s="10">
        <f t="shared" si="9"/>
        <v>108900</v>
      </c>
      <c r="I248" s="10">
        <f t="shared" si="10"/>
        <v>183600</v>
      </c>
      <c r="J248" s="8">
        <f t="shared" si="11"/>
        <v>0</v>
      </c>
      <c r="K248" s="8">
        <f>IFERROR(INDEX(T_OrdenesTrabajo[En_Filtro],MATCH(B248,T_OrdenesTrabajo[ID_OT],0)),0)</f>
        <v>1</v>
      </c>
    </row>
    <row r="249" spans="1:11" x14ac:dyDescent="0.25">
      <c r="A249" s="8" t="s">
        <v>1412</v>
      </c>
      <c r="B249" s="8" t="s">
        <v>660</v>
      </c>
      <c r="C249" s="8" t="s">
        <v>1164</v>
      </c>
      <c r="D249" s="8" t="s">
        <v>35</v>
      </c>
      <c r="E249" s="8">
        <v>1</v>
      </c>
      <c r="F249" s="10">
        <v>17760</v>
      </c>
      <c r="G249" s="10">
        <v>26610</v>
      </c>
      <c r="H249" s="10">
        <f t="shared" si="9"/>
        <v>17760</v>
      </c>
      <c r="I249" s="10">
        <f t="shared" si="10"/>
        <v>26610</v>
      </c>
      <c r="J249" s="8">
        <f t="shared" si="11"/>
        <v>0</v>
      </c>
      <c r="K249" s="8">
        <f>IFERROR(INDEX(T_OrdenesTrabajo[En_Filtro],MATCH(B249,T_OrdenesTrabajo[ID_OT],0)),0)</f>
        <v>1</v>
      </c>
    </row>
    <row r="250" spans="1:11" x14ac:dyDescent="0.25">
      <c r="A250" s="8" t="s">
        <v>1413</v>
      </c>
      <c r="B250" s="8" t="s">
        <v>660</v>
      </c>
      <c r="C250" s="8" t="s">
        <v>1164</v>
      </c>
      <c r="D250" s="8" t="s">
        <v>61</v>
      </c>
      <c r="E250" s="8">
        <v>3</v>
      </c>
      <c r="F250" s="10">
        <v>84600</v>
      </c>
      <c r="G250" s="10">
        <v>101000</v>
      </c>
      <c r="H250" s="10">
        <f t="shared" si="9"/>
        <v>253800</v>
      </c>
      <c r="I250" s="10">
        <f t="shared" si="10"/>
        <v>303000</v>
      </c>
      <c r="J250" s="8">
        <f t="shared" si="11"/>
        <v>0</v>
      </c>
      <c r="K250" s="8">
        <f>IFERROR(INDEX(T_OrdenesTrabajo[En_Filtro],MATCH(B250,T_OrdenesTrabajo[ID_OT],0)),0)</f>
        <v>1</v>
      </c>
    </row>
    <row r="251" spans="1:11" x14ac:dyDescent="0.25">
      <c r="A251" s="8" t="s">
        <v>1414</v>
      </c>
      <c r="B251" s="8" t="s">
        <v>660</v>
      </c>
      <c r="C251" s="8" t="s">
        <v>1167</v>
      </c>
      <c r="D251" s="8" t="s">
        <v>214</v>
      </c>
      <c r="E251" s="8">
        <v>9</v>
      </c>
      <c r="F251" s="10">
        <v>11600</v>
      </c>
      <c r="G251" s="10">
        <v>23400</v>
      </c>
      <c r="H251" s="10">
        <f t="shared" si="9"/>
        <v>104400</v>
      </c>
      <c r="I251" s="10">
        <f t="shared" si="10"/>
        <v>210600</v>
      </c>
      <c r="J251" s="8">
        <f t="shared" si="11"/>
        <v>0</v>
      </c>
      <c r="K251" s="8">
        <f>IFERROR(INDEX(T_OrdenesTrabajo[En_Filtro],MATCH(B251,T_OrdenesTrabajo[ID_OT],0)),0)</f>
        <v>1</v>
      </c>
    </row>
    <row r="252" spans="1:11" x14ac:dyDescent="0.25">
      <c r="A252" s="8" t="s">
        <v>1415</v>
      </c>
      <c r="B252" s="8" t="s">
        <v>660</v>
      </c>
      <c r="C252" s="8" t="s">
        <v>1167</v>
      </c>
      <c r="D252" s="8" t="s">
        <v>228</v>
      </c>
      <c r="E252" s="8">
        <v>5</v>
      </c>
      <c r="F252" s="10">
        <v>13400</v>
      </c>
      <c r="G252" s="10">
        <v>28400</v>
      </c>
      <c r="H252" s="10">
        <f t="shared" si="9"/>
        <v>67000</v>
      </c>
      <c r="I252" s="10">
        <f t="shared" si="10"/>
        <v>142000</v>
      </c>
      <c r="J252" s="8">
        <f t="shared" si="11"/>
        <v>0</v>
      </c>
      <c r="K252" s="8">
        <f>IFERROR(INDEX(T_OrdenesTrabajo[En_Filtro],MATCH(B252,T_OrdenesTrabajo[ID_OT],0)),0)</f>
        <v>1</v>
      </c>
    </row>
    <row r="253" spans="1:11" x14ac:dyDescent="0.25">
      <c r="A253" s="8" t="s">
        <v>1416</v>
      </c>
      <c r="B253" s="8" t="s">
        <v>665</v>
      </c>
      <c r="C253" s="8" t="s">
        <v>1164</v>
      </c>
      <c r="D253" s="8" t="s">
        <v>17</v>
      </c>
      <c r="E253" s="8">
        <v>16</v>
      </c>
      <c r="F253" s="10">
        <v>5590</v>
      </c>
      <c r="G253" s="10">
        <v>4840</v>
      </c>
      <c r="H253" s="10">
        <f t="shared" si="9"/>
        <v>89440</v>
      </c>
      <c r="I253" s="10">
        <f t="shared" si="10"/>
        <v>77440</v>
      </c>
      <c r="J253" s="8">
        <f t="shared" si="11"/>
        <v>0</v>
      </c>
      <c r="K253" s="8">
        <f>IFERROR(INDEX(T_OrdenesTrabajo[En_Filtro],MATCH(B253,T_OrdenesTrabajo[ID_OT],0)),0)</f>
        <v>1</v>
      </c>
    </row>
    <row r="254" spans="1:11" x14ac:dyDescent="0.25">
      <c r="A254" s="8" t="s">
        <v>1417</v>
      </c>
      <c r="B254" s="8" t="s">
        <v>665</v>
      </c>
      <c r="C254" s="8" t="s">
        <v>1164</v>
      </c>
      <c r="D254" s="8" t="s">
        <v>20</v>
      </c>
      <c r="E254" s="8">
        <v>21</v>
      </c>
      <c r="F254" s="10">
        <v>6420</v>
      </c>
      <c r="G254" s="10">
        <v>6440</v>
      </c>
      <c r="H254" s="10">
        <f t="shared" si="9"/>
        <v>134820</v>
      </c>
      <c r="I254" s="10">
        <f t="shared" si="10"/>
        <v>135240</v>
      </c>
      <c r="J254" s="8">
        <f t="shared" si="11"/>
        <v>0</v>
      </c>
      <c r="K254" s="8">
        <f>IFERROR(INDEX(T_OrdenesTrabajo[En_Filtro],MATCH(B254,T_OrdenesTrabajo[ID_OT],0)),0)</f>
        <v>1</v>
      </c>
    </row>
    <row r="255" spans="1:11" x14ac:dyDescent="0.25">
      <c r="A255" s="8" t="s">
        <v>1418</v>
      </c>
      <c r="B255" s="8" t="s">
        <v>665</v>
      </c>
      <c r="C255" s="8" t="s">
        <v>1167</v>
      </c>
      <c r="D255" s="8" t="s">
        <v>231</v>
      </c>
      <c r="E255" s="8">
        <v>2</v>
      </c>
      <c r="F255" s="10">
        <v>15500</v>
      </c>
      <c r="G255" s="10">
        <v>21100</v>
      </c>
      <c r="H255" s="10">
        <f t="shared" si="9"/>
        <v>31000</v>
      </c>
      <c r="I255" s="10">
        <f t="shared" si="10"/>
        <v>42200</v>
      </c>
      <c r="J255" s="8">
        <f t="shared" si="11"/>
        <v>0</v>
      </c>
      <c r="K255" s="8">
        <f>IFERROR(INDEX(T_OrdenesTrabajo[En_Filtro],MATCH(B255,T_OrdenesTrabajo[ID_OT],0)),0)</f>
        <v>1</v>
      </c>
    </row>
    <row r="256" spans="1:11" x14ac:dyDescent="0.25">
      <c r="A256" s="8" t="s">
        <v>1419</v>
      </c>
      <c r="B256" s="8" t="s">
        <v>670</v>
      </c>
      <c r="C256" s="8" t="s">
        <v>1164</v>
      </c>
      <c r="D256" s="8" t="s">
        <v>57</v>
      </c>
      <c r="E256" s="8">
        <v>3</v>
      </c>
      <c r="F256" s="10">
        <v>128550</v>
      </c>
      <c r="G256" s="10">
        <v>165010</v>
      </c>
      <c r="H256" s="10">
        <f t="shared" si="9"/>
        <v>385650</v>
      </c>
      <c r="I256" s="10">
        <f t="shared" si="10"/>
        <v>495030</v>
      </c>
      <c r="J256" s="8">
        <f t="shared" si="11"/>
        <v>0</v>
      </c>
      <c r="K256" s="8">
        <f>IFERROR(INDEX(T_OrdenesTrabajo[En_Filtro],MATCH(B256,T_OrdenesTrabajo[ID_OT],0)),0)</f>
        <v>1</v>
      </c>
    </row>
    <row r="257" spans="1:11" x14ac:dyDescent="0.25">
      <c r="A257" s="8" t="s">
        <v>1420</v>
      </c>
      <c r="B257" s="8" t="s">
        <v>670</v>
      </c>
      <c r="C257" s="8" t="s">
        <v>1164</v>
      </c>
      <c r="D257" s="8" t="s">
        <v>65</v>
      </c>
      <c r="E257" s="8">
        <v>1</v>
      </c>
      <c r="F257" s="10">
        <v>23670</v>
      </c>
      <c r="G257" s="10">
        <v>28170</v>
      </c>
      <c r="H257" s="10">
        <f t="shared" si="9"/>
        <v>23670</v>
      </c>
      <c r="I257" s="10">
        <f t="shared" si="10"/>
        <v>28170</v>
      </c>
      <c r="J257" s="8">
        <f t="shared" si="11"/>
        <v>0</v>
      </c>
      <c r="K257" s="8">
        <f>IFERROR(INDEX(T_OrdenesTrabajo[En_Filtro],MATCH(B257,T_OrdenesTrabajo[ID_OT],0)),0)</f>
        <v>1</v>
      </c>
    </row>
    <row r="258" spans="1:11" x14ac:dyDescent="0.25">
      <c r="A258" s="8" t="s">
        <v>1421</v>
      </c>
      <c r="B258" s="8" t="s">
        <v>670</v>
      </c>
      <c r="C258" s="8" t="s">
        <v>1167</v>
      </c>
      <c r="D258" s="8" t="s">
        <v>214</v>
      </c>
      <c r="E258" s="8">
        <v>9</v>
      </c>
      <c r="F258" s="10">
        <v>12700</v>
      </c>
      <c r="G258" s="10">
        <v>22300</v>
      </c>
      <c r="H258" s="10">
        <f t="shared" ref="H258:H321" si="12">IF(OR(ISBLANK(F258),NOT(ISNUMBER(F258))),"",E258*F258)</f>
        <v>114300</v>
      </c>
      <c r="I258" s="10">
        <f t="shared" ref="I258:I321" si="13">IF(OR(ISBLANK(G258),NOT(ISNUMBER(G258))),"",E258*G258)</f>
        <v>200700</v>
      </c>
      <c r="J258" s="8">
        <f t="shared" ref="J258:J321" si="14">IF(AND(ISNUMBER(F258),ISNUMBER(G258)),0,1)</f>
        <v>0</v>
      </c>
      <c r="K258" s="8">
        <f>IFERROR(INDEX(T_OrdenesTrabajo[En_Filtro],MATCH(B258,T_OrdenesTrabajo[ID_OT],0)),0)</f>
        <v>1</v>
      </c>
    </row>
    <row r="259" spans="1:11" x14ac:dyDescent="0.25">
      <c r="A259" s="8" t="s">
        <v>1422</v>
      </c>
      <c r="B259" s="8" t="s">
        <v>670</v>
      </c>
      <c r="C259" s="8" t="s">
        <v>1167</v>
      </c>
      <c r="D259" s="8" t="s">
        <v>217</v>
      </c>
      <c r="E259" s="8">
        <v>4</v>
      </c>
      <c r="F259" s="10">
        <v>12400</v>
      </c>
      <c r="G259" s="10">
        <v>21800</v>
      </c>
      <c r="H259" s="10">
        <f t="shared" si="12"/>
        <v>49600</v>
      </c>
      <c r="I259" s="10">
        <f t="shared" si="13"/>
        <v>87200</v>
      </c>
      <c r="J259" s="8">
        <f t="shared" si="14"/>
        <v>0</v>
      </c>
      <c r="K259" s="8">
        <f>IFERROR(INDEX(T_OrdenesTrabajo[En_Filtro],MATCH(B259,T_OrdenesTrabajo[ID_OT],0)),0)</f>
        <v>1</v>
      </c>
    </row>
    <row r="260" spans="1:11" x14ac:dyDescent="0.25">
      <c r="A260" s="8" t="s">
        <v>1423</v>
      </c>
      <c r="B260" s="8" t="s">
        <v>675</v>
      </c>
      <c r="C260" s="8" t="s">
        <v>1164</v>
      </c>
      <c r="D260" s="8" t="s">
        <v>13</v>
      </c>
      <c r="E260" s="8">
        <v>3</v>
      </c>
      <c r="F260" s="10">
        <v>30640</v>
      </c>
      <c r="G260" s="10">
        <v>41340</v>
      </c>
      <c r="H260" s="10">
        <f t="shared" si="12"/>
        <v>91920</v>
      </c>
      <c r="I260" s="10">
        <f t="shared" si="13"/>
        <v>124020</v>
      </c>
      <c r="J260" s="8">
        <f t="shared" si="14"/>
        <v>0</v>
      </c>
      <c r="K260" s="8">
        <f>IFERROR(INDEX(T_OrdenesTrabajo[En_Filtro],MATCH(B260,T_OrdenesTrabajo[ID_OT],0)),0)</f>
        <v>1</v>
      </c>
    </row>
    <row r="261" spans="1:11" x14ac:dyDescent="0.25">
      <c r="A261" s="8" t="s">
        <v>1424</v>
      </c>
      <c r="B261" s="8" t="s">
        <v>675</v>
      </c>
      <c r="C261" s="8" t="s">
        <v>1164</v>
      </c>
      <c r="D261" s="8" t="s">
        <v>17</v>
      </c>
      <c r="E261" s="8">
        <v>9</v>
      </c>
      <c r="F261" s="10">
        <v>5150</v>
      </c>
      <c r="G261" s="10">
        <v>6700</v>
      </c>
      <c r="H261" s="10">
        <f t="shared" si="12"/>
        <v>46350</v>
      </c>
      <c r="I261" s="10">
        <f t="shared" si="13"/>
        <v>60300</v>
      </c>
      <c r="J261" s="8">
        <f t="shared" si="14"/>
        <v>0</v>
      </c>
      <c r="K261" s="8">
        <f>IFERROR(INDEX(T_OrdenesTrabajo[En_Filtro],MATCH(B261,T_OrdenesTrabajo[ID_OT],0)),0)</f>
        <v>1</v>
      </c>
    </row>
    <row r="262" spans="1:11" x14ac:dyDescent="0.25">
      <c r="A262" s="8" t="s">
        <v>1425</v>
      </c>
      <c r="B262" s="8" t="s">
        <v>675</v>
      </c>
      <c r="C262" s="8" t="s">
        <v>1167</v>
      </c>
      <c r="D262" s="8" t="s">
        <v>231</v>
      </c>
      <c r="E262" s="8">
        <v>5</v>
      </c>
      <c r="F262" s="10">
        <v>14200</v>
      </c>
      <c r="G262" s="10">
        <v>30800</v>
      </c>
      <c r="H262" s="10">
        <f t="shared" si="12"/>
        <v>71000</v>
      </c>
      <c r="I262" s="10">
        <f t="shared" si="13"/>
        <v>154000</v>
      </c>
      <c r="J262" s="8">
        <f t="shared" si="14"/>
        <v>0</v>
      </c>
      <c r="K262" s="8">
        <f>IFERROR(INDEX(T_OrdenesTrabajo[En_Filtro],MATCH(B262,T_OrdenesTrabajo[ID_OT],0)),0)</f>
        <v>1</v>
      </c>
    </row>
    <row r="263" spans="1:11" x14ac:dyDescent="0.25">
      <c r="A263" s="8" t="s">
        <v>1426</v>
      </c>
      <c r="B263" s="8" t="s">
        <v>680</v>
      </c>
      <c r="C263" s="8" t="s">
        <v>1164</v>
      </c>
      <c r="D263" s="8" t="s">
        <v>17</v>
      </c>
      <c r="E263" s="8">
        <v>9</v>
      </c>
      <c r="F263" s="10">
        <v>5140</v>
      </c>
      <c r="G263" s="10">
        <v>7130</v>
      </c>
      <c r="H263" s="10">
        <f t="shared" si="12"/>
        <v>46260</v>
      </c>
      <c r="I263" s="10">
        <f t="shared" si="13"/>
        <v>64170</v>
      </c>
      <c r="J263" s="8">
        <f t="shared" si="14"/>
        <v>0</v>
      </c>
      <c r="K263" s="8">
        <f>IFERROR(INDEX(T_OrdenesTrabajo[En_Filtro],MATCH(B263,T_OrdenesTrabajo[ID_OT],0)),0)</f>
        <v>1</v>
      </c>
    </row>
    <row r="264" spans="1:11" x14ac:dyDescent="0.25">
      <c r="A264" s="8" t="s">
        <v>1427</v>
      </c>
      <c r="B264" s="8" t="s">
        <v>680</v>
      </c>
      <c r="C264" s="8" t="s">
        <v>1167</v>
      </c>
      <c r="D264" s="8" t="s">
        <v>219</v>
      </c>
      <c r="E264" s="8">
        <v>5</v>
      </c>
      <c r="F264" s="10">
        <v>12600</v>
      </c>
      <c r="G264" s="10">
        <v>22200</v>
      </c>
      <c r="H264" s="10">
        <f t="shared" si="12"/>
        <v>63000</v>
      </c>
      <c r="I264" s="10">
        <f t="shared" si="13"/>
        <v>111000</v>
      </c>
      <c r="J264" s="8">
        <f t="shared" si="14"/>
        <v>0</v>
      </c>
      <c r="K264" s="8">
        <f>IFERROR(INDEX(T_OrdenesTrabajo[En_Filtro],MATCH(B264,T_OrdenesTrabajo[ID_OT],0)),0)</f>
        <v>1</v>
      </c>
    </row>
    <row r="265" spans="1:11" x14ac:dyDescent="0.25">
      <c r="A265" s="8" t="s">
        <v>1428</v>
      </c>
      <c r="B265" s="8" t="s">
        <v>685</v>
      </c>
      <c r="C265" s="8" t="s">
        <v>1164</v>
      </c>
      <c r="D265" s="8" t="s">
        <v>65</v>
      </c>
      <c r="E265" s="8">
        <v>1</v>
      </c>
      <c r="F265" s="10">
        <v>24910</v>
      </c>
      <c r="G265" s="10">
        <v>30660</v>
      </c>
      <c r="H265" s="10">
        <f t="shared" si="12"/>
        <v>24910</v>
      </c>
      <c r="I265" s="10">
        <f t="shared" si="13"/>
        <v>30660</v>
      </c>
      <c r="J265" s="8">
        <f t="shared" si="14"/>
        <v>0</v>
      </c>
      <c r="K265" s="8">
        <f>IFERROR(INDEX(T_OrdenesTrabajo[En_Filtro],MATCH(B265,T_OrdenesTrabajo[ID_OT],0)),0)</f>
        <v>1</v>
      </c>
    </row>
    <row r="266" spans="1:11" x14ac:dyDescent="0.25">
      <c r="A266" s="8" t="s">
        <v>1429</v>
      </c>
      <c r="B266" s="8" t="s">
        <v>685</v>
      </c>
      <c r="C266" s="8" t="s">
        <v>1164</v>
      </c>
      <c r="D266" s="8" t="s">
        <v>13</v>
      </c>
      <c r="E266" s="8">
        <v>3</v>
      </c>
      <c r="F266" s="10">
        <v>32170</v>
      </c>
      <c r="G266" s="10">
        <v>44220</v>
      </c>
      <c r="H266" s="10">
        <f t="shared" si="12"/>
        <v>96510</v>
      </c>
      <c r="I266" s="10">
        <f t="shared" si="13"/>
        <v>132660</v>
      </c>
      <c r="J266" s="8">
        <f t="shared" si="14"/>
        <v>0</v>
      </c>
      <c r="K266" s="8">
        <f>IFERROR(INDEX(T_OrdenesTrabajo[En_Filtro],MATCH(B266,T_OrdenesTrabajo[ID_OT],0)),0)</f>
        <v>1</v>
      </c>
    </row>
    <row r="267" spans="1:11" x14ac:dyDescent="0.25">
      <c r="A267" s="8" t="s">
        <v>1430</v>
      </c>
      <c r="B267" s="8" t="s">
        <v>685</v>
      </c>
      <c r="C267" s="8" t="s">
        <v>1164</v>
      </c>
      <c r="D267" s="8" t="s">
        <v>54</v>
      </c>
      <c r="E267" s="8">
        <v>2</v>
      </c>
      <c r="F267" s="10">
        <v>86110</v>
      </c>
      <c r="G267" s="10">
        <v>116400</v>
      </c>
      <c r="H267" s="10">
        <f t="shared" si="12"/>
        <v>172220</v>
      </c>
      <c r="I267" s="10">
        <f t="shared" si="13"/>
        <v>232800</v>
      </c>
      <c r="J267" s="8">
        <f t="shared" si="14"/>
        <v>0</v>
      </c>
      <c r="K267" s="8">
        <f>IFERROR(INDEX(T_OrdenesTrabajo[En_Filtro],MATCH(B267,T_OrdenesTrabajo[ID_OT],0)),0)</f>
        <v>1</v>
      </c>
    </row>
    <row r="268" spans="1:11" x14ac:dyDescent="0.25">
      <c r="A268" s="8" t="s">
        <v>1431</v>
      </c>
      <c r="B268" s="8" t="s">
        <v>685</v>
      </c>
      <c r="C268" s="8" t="s">
        <v>1167</v>
      </c>
      <c r="D268" s="8" t="s">
        <v>214</v>
      </c>
      <c r="E268" s="8">
        <v>4</v>
      </c>
      <c r="F268" s="10">
        <v>12900</v>
      </c>
      <c r="G268" s="10">
        <v>23200</v>
      </c>
      <c r="H268" s="10">
        <f t="shared" si="12"/>
        <v>51600</v>
      </c>
      <c r="I268" s="10">
        <f t="shared" si="13"/>
        <v>92800</v>
      </c>
      <c r="J268" s="8">
        <f t="shared" si="14"/>
        <v>0</v>
      </c>
      <c r="K268" s="8">
        <f>IFERROR(INDEX(T_OrdenesTrabajo[En_Filtro],MATCH(B268,T_OrdenesTrabajo[ID_OT],0)),0)</f>
        <v>1</v>
      </c>
    </row>
    <row r="269" spans="1:11" x14ac:dyDescent="0.25">
      <c r="A269" s="8" t="s">
        <v>1432</v>
      </c>
      <c r="B269" s="8" t="s">
        <v>685</v>
      </c>
      <c r="C269" s="8" t="s">
        <v>1167</v>
      </c>
      <c r="D269" s="8" t="s">
        <v>219</v>
      </c>
      <c r="E269" s="8">
        <v>4</v>
      </c>
      <c r="F269" s="10">
        <v>11500</v>
      </c>
      <c r="G269" s="10">
        <v>24100</v>
      </c>
      <c r="H269" s="10">
        <f t="shared" si="12"/>
        <v>46000</v>
      </c>
      <c r="I269" s="10">
        <f t="shared" si="13"/>
        <v>96400</v>
      </c>
      <c r="J269" s="8">
        <f t="shared" si="14"/>
        <v>0</v>
      </c>
      <c r="K269" s="8">
        <f>IFERROR(INDEX(T_OrdenesTrabajo[En_Filtro],MATCH(B269,T_OrdenesTrabajo[ID_OT],0)),0)</f>
        <v>1</v>
      </c>
    </row>
    <row r="270" spans="1:11" x14ac:dyDescent="0.25">
      <c r="A270" s="8" t="s">
        <v>1433</v>
      </c>
      <c r="B270" s="8" t="s">
        <v>690</v>
      </c>
      <c r="C270" s="8" t="s">
        <v>1164</v>
      </c>
      <c r="D270" s="8" t="s">
        <v>24</v>
      </c>
      <c r="E270" s="8">
        <v>1</v>
      </c>
      <c r="F270" s="10">
        <v>395520</v>
      </c>
      <c r="G270" s="10">
        <v>575170</v>
      </c>
      <c r="H270" s="10">
        <f t="shared" si="12"/>
        <v>395520</v>
      </c>
      <c r="I270" s="10">
        <f t="shared" si="13"/>
        <v>575170</v>
      </c>
      <c r="J270" s="8">
        <f t="shared" si="14"/>
        <v>0</v>
      </c>
      <c r="K270" s="8">
        <f>IFERROR(INDEX(T_OrdenesTrabajo[En_Filtro],MATCH(B270,T_OrdenesTrabajo[ID_OT],0)),0)</f>
        <v>1</v>
      </c>
    </row>
    <row r="271" spans="1:11" x14ac:dyDescent="0.25">
      <c r="A271" s="8" t="s">
        <v>1434</v>
      </c>
      <c r="B271" s="8" t="s">
        <v>690</v>
      </c>
      <c r="C271" s="8" t="s">
        <v>1164</v>
      </c>
      <c r="D271" s="8" t="s">
        <v>42</v>
      </c>
      <c r="E271" s="8">
        <v>1</v>
      </c>
      <c r="F271" s="10">
        <v>41970</v>
      </c>
      <c r="G271" s="10">
        <v>62900</v>
      </c>
      <c r="H271" s="10">
        <f t="shared" si="12"/>
        <v>41970</v>
      </c>
      <c r="I271" s="10">
        <f t="shared" si="13"/>
        <v>62900</v>
      </c>
      <c r="J271" s="8">
        <f t="shared" si="14"/>
        <v>0</v>
      </c>
      <c r="K271" s="8">
        <f>IFERROR(INDEX(T_OrdenesTrabajo[En_Filtro],MATCH(B271,T_OrdenesTrabajo[ID_OT],0)),0)</f>
        <v>1</v>
      </c>
    </row>
    <row r="272" spans="1:11" x14ac:dyDescent="0.25">
      <c r="A272" s="8" t="s">
        <v>1435</v>
      </c>
      <c r="B272" s="8" t="s">
        <v>690</v>
      </c>
      <c r="C272" s="8" t="s">
        <v>1167</v>
      </c>
      <c r="D272" s="8" t="s">
        <v>226</v>
      </c>
      <c r="E272" s="8">
        <v>15</v>
      </c>
      <c r="F272" s="10">
        <v>12800</v>
      </c>
      <c r="G272" s="10">
        <v>26600</v>
      </c>
      <c r="H272" s="10">
        <f t="shared" si="12"/>
        <v>192000</v>
      </c>
      <c r="I272" s="10">
        <f t="shared" si="13"/>
        <v>399000</v>
      </c>
      <c r="J272" s="8">
        <f t="shared" si="14"/>
        <v>0</v>
      </c>
      <c r="K272" s="8">
        <f>IFERROR(INDEX(T_OrdenesTrabajo[En_Filtro],MATCH(B272,T_OrdenesTrabajo[ID_OT],0)),0)</f>
        <v>1</v>
      </c>
    </row>
    <row r="273" spans="1:11" x14ac:dyDescent="0.25">
      <c r="A273" s="8" t="s">
        <v>1436</v>
      </c>
      <c r="B273" s="8" t="s">
        <v>695</v>
      </c>
      <c r="C273" s="8" t="s">
        <v>1164</v>
      </c>
      <c r="D273" s="8" t="s">
        <v>22</v>
      </c>
      <c r="E273" s="8">
        <v>20</v>
      </c>
      <c r="F273" s="10">
        <v>4160</v>
      </c>
      <c r="G273" s="10">
        <v>5810</v>
      </c>
      <c r="H273" s="10">
        <f t="shared" si="12"/>
        <v>83200</v>
      </c>
      <c r="I273" s="10">
        <f t="shared" si="13"/>
        <v>116200</v>
      </c>
      <c r="J273" s="8">
        <f t="shared" si="14"/>
        <v>0</v>
      </c>
      <c r="K273" s="8">
        <f>IFERROR(INDEX(T_OrdenesTrabajo[En_Filtro],MATCH(B273,T_OrdenesTrabajo[ID_OT],0)),0)</f>
        <v>1</v>
      </c>
    </row>
    <row r="274" spans="1:11" x14ac:dyDescent="0.25">
      <c r="A274" s="8" t="s">
        <v>1437</v>
      </c>
      <c r="B274" s="8" t="s">
        <v>695</v>
      </c>
      <c r="C274" s="8" t="s">
        <v>1167</v>
      </c>
      <c r="D274" s="8" t="s">
        <v>217</v>
      </c>
      <c r="E274" s="8">
        <v>5</v>
      </c>
      <c r="F274" s="10">
        <v>13200</v>
      </c>
      <c r="G274" s="10">
        <v>24100</v>
      </c>
      <c r="H274" s="10">
        <f t="shared" si="12"/>
        <v>66000</v>
      </c>
      <c r="I274" s="10">
        <f t="shared" si="13"/>
        <v>120500</v>
      </c>
      <c r="J274" s="8">
        <f t="shared" si="14"/>
        <v>0</v>
      </c>
      <c r="K274" s="8">
        <f>IFERROR(INDEX(T_OrdenesTrabajo[En_Filtro],MATCH(B274,T_OrdenesTrabajo[ID_OT],0)),0)</f>
        <v>1</v>
      </c>
    </row>
    <row r="275" spans="1:11" x14ac:dyDescent="0.25">
      <c r="A275" s="8" t="s">
        <v>1438</v>
      </c>
      <c r="B275" s="8" t="s">
        <v>700</v>
      </c>
      <c r="C275" s="8" t="s">
        <v>1164</v>
      </c>
      <c r="D275" s="8" t="s">
        <v>57</v>
      </c>
      <c r="E275" s="8">
        <v>3</v>
      </c>
      <c r="F275" s="10">
        <v>123460</v>
      </c>
      <c r="G275" s="10">
        <v>97920</v>
      </c>
      <c r="H275" s="10">
        <f t="shared" si="12"/>
        <v>370380</v>
      </c>
      <c r="I275" s="10">
        <f t="shared" si="13"/>
        <v>293760</v>
      </c>
      <c r="J275" s="8">
        <f t="shared" si="14"/>
        <v>0</v>
      </c>
      <c r="K275" s="8">
        <f>IFERROR(INDEX(T_OrdenesTrabajo[En_Filtro],MATCH(B275,T_OrdenesTrabajo[ID_OT],0)),0)</f>
        <v>1</v>
      </c>
    </row>
    <row r="276" spans="1:11" x14ac:dyDescent="0.25">
      <c r="A276" s="8" t="s">
        <v>1439</v>
      </c>
      <c r="B276" s="8" t="s">
        <v>700</v>
      </c>
      <c r="C276" s="8" t="s">
        <v>1164</v>
      </c>
      <c r="D276" s="8" t="s">
        <v>61</v>
      </c>
      <c r="E276" s="8">
        <v>1</v>
      </c>
      <c r="F276" s="10">
        <v>80950</v>
      </c>
      <c r="G276" s="10">
        <v>68050</v>
      </c>
      <c r="H276" s="10">
        <f t="shared" si="12"/>
        <v>80950</v>
      </c>
      <c r="I276" s="10">
        <f t="shared" si="13"/>
        <v>68050</v>
      </c>
      <c r="J276" s="8">
        <f t="shared" si="14"/>
        <v>0</v>
      </c>
      <c r="K276" s="8">
        <f>IFERROR(INDEX(T_OrdenesTrabajo[En_Filtro],MATCH(B276,T_OrdenesTrabajo[ID_OT],0)),0)</f>
        <v>1</v>
      </c>
    </row>
    <row r="277" spans="1:11" x14ac:dyDescent="0.25">
      <c r="A277" s="8" t="s">
        <v>1440</v>
      </c>
      <c r="B277" s="8" t="s">
        <v>700</v>
      </c>
      <c r="C277" s="8" t="s">
        <v>1167</v>
      </c>
      <c r="D277" s="8" t="s">
        <v>217</v>
      </c>
      <c r="E277" s="8">
        <v>5</v>
      </c>
      <c r="F277" s="10">
        <v>12400</v>
      </c>
      <c r="G277" s="10">
        <v>14900</v>
      </c>
      <c r="H277" s="10">
        <f t="shared" si="12"/>
        <v>62000</v>
      </c>
      <c r="I277" s="10">
        <f t="shared" si="13"/>
        <v>74500</v>
      </c>
      <c r="J277" s="8">
        <f t="shared" si="14"/>
        <v>0</v>
      </c>
      <c r="K277" s="8">
        <f>IFERROR(INDEX(T_OrdenesTrabajo[En_Filtro],MATCH(B277,T_OrdenesTrabajo[ID_OT],0)),0)</f>
        <v>1</v>
      </c>
    </row>
    <row r="278" spans="1:11" x14ac:dyDescent="0.25">
      <c r="A278" s="8" t="s">
        <v>1441</v>
      </c>
      <c r="B278" s="8" t="s">
        <v>705</v>
      </c>
      <c r="C278" s="8" t="s">
        <v>1164</v>
      </c>
      <c r="D278" s="8" t="s">
        <v>15</v>
      </c>
      <c r="E278" s="8">
        <v>2</v>
      </c>
      <c r="F278" s="10">
        <v>23620</v>
      </c>
      <c r="G278" s="10">
        <v>20320</v>
      </c>
      <c r="H278" s="10">
        <f t="shared" si="12"/>
        <v>47240</v>
      </c>
      <c r="I278" s="10">
        <f t="shared" si="13"/>
        <v>40640</v>
      </c>
      <c r="J278" s="8">
        <f t="shared" si="14"/>
        <v>0</v>
      </c>
      <c r="K278" s="8">
        <f>IFERROR(INDEX(T_OrdenesTrabajo[En_Filtro],MATCH(B278,T_OrdenesTrabajo[ID_OT],0)),0)</f>
        <v>1</v>
      </c>
    </row>
    <row r="279" spans="1:11" x14ac:dyDescent="0.25">
      <c r="A279" s="8" t="s">
        <v>1442</v>
      </c>
      <c r="B279" s="8" t="s">
        <v>705</v>
      </c>
      <c r="C279" s="8" t="s">
        <v>1164</v>
      </c>
      <c r="D279" s="8" t="s">
        <v>63</v>
      </c>
      <c r="E279" s="8">
        <v>4</v>
      </c>
      <c r="F279" s="10">
        <v>61010</v>
      </c>
      <c r="G279" s="10">
        <v>61040</v>
      </c>
      <c r="H279" s="10">
        <f t="shared" si="12"/>
        <v>244040</v>
      </c>
      <c r="I279" s="10">
        <f t="shared" si="13"/>
        <v>244160</v>
      </c>
      <c r="J279" s="8">
        <f t="shared" si="14"/>
        <v>0</v>
      </c>
      <c r="K279" s="8">
        <f>IFERROR(INDEX(T_OrdenesTrabajo[En_Filtro],MATCH(B279,T_OrdenesTrabajo[ID_OT],0)),0)</f>
        <v>1</v>
      </c>
    </row>
    <row r="280" spans="1:11" x14ac:dyDescent="0.25">
      <c r="A280" s="8" t="s">
        <v>1443</v>
      </c>
      <c r="B280" s="8" t="s">
        <v>705</v>
      </c>
      <c r="C280" s="8" t="s">
        <v>1164</v>
      </c>
      <c r="D280" s="8" t="s">
        <v>20</v>
      </c>
      <c r="E280" s="8">
        <v>20</v>
      </c>
      <c r="F280" s="10">
        <v>6070</v>
      </c>
      <c r="G280" s="10">
        <v>5430</v>
      </c>
      <c r="H280" s="10">
        <f t="shared" si="12"/>
        <v>121400</v>
      </c>
      <c r="I280" s="10">
        <f t="shared" si="13"/>
        <v>108600</v>
      </c>
      <c r="J280" s="8">
        <f t="shared" si="14"/>
        <v>0</v>
      </c>
      <c r="K280" s="8">
        <f>IFERROR(INDEX(T_OrdenesTrabajo[En_Filtro],MATCH(B280,T_OrdenesTrabajo[ID_OT],0)),0)</f>
        <v>1</v>
      </c>
    </row>
    <row r="281" spans="1:11" x14ac:dyDescent="0.25">
      <c r="A281" s="8" t="s">
        <v>1444</v>
      </c>
      <c r="B281" s="8" t="s">
        <v>705</v>
      </c>
      <c r="C281" s="8" t="s">
        <v>1167</v>
      </c>
      <c r="D281" s="8" t="s">
        <v>214</v>
      </c>
      <c r="E281" s="8">
        <v>6</v>
      </c>
      <c r="F281" s="10">
        <v>11700</v>
      </c>
      <c r="G281" s="10">
        <v>16000</v>
      </c>
      <c r="H281" s="10">
        <f t="shared" si="12"/>
        <v>70200</v>
      </c>
      <c r="I281" s="10">
        <f t="shared" si="13"/>
        <v>96000</v>
      </c>
      <c r="J281" s="8">
        <f t="shared" si="14"/>
        <v>0</v>
      </c>
      <c r="K281" s="8">
        <f>IFERROR(INDEX(T_OrdenesTrabajo[En_Filtro],MATCH(B281,T_OrdenesTrabajo[ID_OT],0)),0)</f>
        <v>1</v>
      </c>
    </row>
    <row r="282" spans="1:11" x14ac:dyDescent="0.25">
      <c r="A282" s="8" t="s">
        <v>1445</v>
      </c>
      <c r="B282" s="8" t="s">
        <v>705</v>
      </c>
      <c r="C282" s="8" t="s">
        <v>1167</v>
      </c>
      <c r="D282" s="8" t="s">
        <v>217</v>
      </c>
      <c r="E282" s="8">
        <v>4</v>
      </c>
      <c r="F282" s="10">
        <v>11500</v>
      </c>
      <c r="G282" s="10">
        <v>15000</v>
      </c>
      <c r="H282" s="10">
        <f t="shared" si="12"/>
        <v>46000</v>
      </c>
      <c r="I282" s="10">
        <f t="shared" si="13"/>
        <v>60000</v>
      </c>
      <c r="J282" s="8">
        <f t="shared" si="14"/>
        <v>0</v>
      </c>
      <c r="K282" s="8">
        <f>IFERROR(INDEX(T_OrdenesTrabajo[En_Filtro],MATCH(B282,T_OrdenesTrabajo[ID_OT],0)),0)</f>
        <v>1</v>
      </c>
    </row>
    <row r="283" spans="1:11" x14ac:dyDescent="0.25">
      <c r="A283" s="8" t="s">
        <v>1446</v>
      </c>
      <c r="B283" s="8" t="s">
        <v>709</v>
      </c>
      <c r="C283" s="8" t="s">
        <v>1164</v>
      </c>
      <c r="D283" s="8" t="s">
        <v>65</v>
      </c>
      <c r="E283" s="8">
        <v>1</v>
      </c>
      <c r="F283" s="10">
        <v>21660</v>
      </c>
      <c r="G283" s="10">
        <v>26400</v>
      </c>
      <c r="H283" s="10">
        <f t="shared" si="12"/>
        <v>21660</v>
      </c>
      <c r="I283" s="10">
        <f t="shared" si="13"/>
        <v>26400</v>
      </c>
      <c r="J283" s="8">
        <f t="shared" si="14"/>
        <v>0</v>
      </c>
      <c r="K283" s="8">
        <f>IFERROR(INDEX(T_OrdenesTrabajo[En_Filtro],MATCH(B283,T_OrdenesTrabajo[ID_OT],0)),0)</f>
        <v>1</v>
      </c>
    </row>
    <row r="284" spans="1:11" x14ac:dyDescent="0.25">
      <c r="A284" s="8" t="s">
        <v>1447</v>
      </c>
      <c r="B284" s="8" t="s">
        <v>709</v>
      </c>
      <c r="C284" s="8" t="s">
        <v>1167</v>
      </c>
      <c r="D284" s="8" t="s">
        <v>217</v>
      </c>
      <c r="E284" s="8">
        <v>5</v>
      </c>
      <c r="F284" s="10">
        <v>12400</v>
      </c>
      <c r="G284" s="10">
        <v>23700</v>
      </c>
      <c r="H284" s="10">
        <f t="shared" si="12"/>
        <v>62000</v>
      </c>
      <c r="I284" s="10">
        <f t="shared" si="13"/>
        <v>118500</v>
      </c>
      <c r="J284" s="8">
        <f t="shared" si="14"/>
        <v>0</v>
      </c>
      <c r="K284" s="8">
        <f>IFERROR(INDEX(T_OrdenesTrabajo[En_Filtro],MATCH(B284,T_OrdenesTrabajo[ID_OT],0)),0)</f>
        <v>1</v>
      </c>
    </row>
    <row r="285" spans="1:11" x14ac:dyDescent="0.25">
      <c r="A285" s="8" t="s">
        <v>1448</v>
      </c>
      <c r="B285" s="8" t="s">
        <v>714</v>
      </c>
      <c r="C285" s="8" t="s">
        <v>1164</v>
      </c>
      <c r="D285" s="8" t="s">
        <v>9</v>
      </c>
      <c r="E285" s="8">
        <v>1</v>
      </c>
      <c r="F285" s="10">
        <v>13880</v>
      </c>
      <c r="G285" s="10">
        <v>18450</v>
      </c>
      <c r="H285" s="10">
        <f t="shared" si="12"/>
        <v>13880</v>
      </c>
      <c r="I285" s="10">
        <f t="shared" si="13"/>
        <v>18450</v>
      </c>
      <c r="J285" s="8">
        <f t="shared" si="14"/>
        <v>0</v>
      </c>
      <c r="K285" s="8">
        <f>IFERROR(INDEX(T_OrdenesTrabajo[En_Filtro],MATCH(B285,T_OrdenesTrabajo[ID_OT],0)),0)</f>
        <v>1</v>
      </c>
    </row>
    <row r="286" spans="1:11" x14ac:dyDescent="0.25">
      <c r="A286" s="8" t="s">
        <v>1449</v>
      </c>
      <c r="B286" s="8" t="s">
        <v>714</v>
      </c>
      <c r="C286" s="8" t="s">
        <v>1164</v>
      </c>
      <c r="D286" s="8" t="s">
        <v>20</v>
      </c>
      <c r="E286" s="8">
        <v>10</v>
      </c>
      <c r="F286" s="10">
        <v>6420</v>
      </c>
      <c r="G286" s="10">
        <v>8780</v>
      </c>
      <c r="H286" s="10">
        <f t="shared" si="12"/>
        <v>64200</v>
      </c>
      <c r="I286" s="10">
        <f t="shared" si="13"/>
        <v>87800</v>
      </c>
      <c r="J286" s="8">
        <f t="shared" si="14"/>
        <v>0</v>
      </c>
      <c r="K286" s="8">
        <f>IFERROR(INDEX(T_OrdenesTrabajo[En_Filtro],MATCH(B286,T_OrdenesTrabajo[ID_OT],0)),0)</f>
        <v>1</v>
      </c>
    </row>
    <row r="287" spans="1:11" x14ac:dyDescent="0.25">
      <c r="A287" s="8" t="s">
        <v>1450</v>
      </c>
      <c r="B287" s="8" t="s">
        <v>714</v>
      </c>
      <c r="C287" s="8" t="s">
        <v>1167</v>
      </c>
      <c r="D287" s="8" t="s">
        <v>217</v>
      </c>
      <c r="E287" s="8">
        <v>4</v>
      </c>
      <c r="F287" s="10">
        <v>12800</v>
      </c>
      <c r="G287" s="10">
        <v>23200</v>
      </c>
      <c r="H287" s="10">
        <f t="shared" si="12"/>
        <v>51200</v>
      </c>
      <c r="I287" s="10">
        <f t="shared" si="13"/>
        <v>92800</v>
      </c>
      <c r="J287" s="8">
        <f t="shared" si="14"/>
        <v>0</v>
      </c>
      <c r="K287" s="8">
        <f>IFERROR(INDEX(T_OrdenesTrabajo[En_Filtro],MATCH(B287,T_OrdenesTrabajo[ID_OT],0)),0)</f>
        <v>1</v>
      </c>
    </row>
    <row r="288" spans="1:11" x14ac:dyDescent="0.25">
      <c r="A288" s="8" t="s">
        <v>1451</v>
      </c>
      <c r="B288" s="8" t="s">
        <v>719</v>
      </c>
      <c r="C288" s="8" t="s">
        <v>1164</v>
      </c>
      <c r="D288" s="8" t="s">
        <v>20</v>
      </c>
      <c r="E288" s="8">
        <v>20</v>
      </c>
      <c r="F288" s="10">
        <v>6730</v>
      </c>
      <c r="G288" s="10">
        <v>8520</v>
      </c>
      <c r="H288" s="10">
        <f t="shared" si="12"/>
        <v>134600</v>
      </c>
      <c r="I288" s="10">
        <f t="shared" si="13"/>
        <v>170400</v>
      </c>
      <c r="J288" s="8">
        <f t="shared" si="14"/>
        <v>0</v>
      </c>
      <c r="K288" s="8">
        <f>IFERROR(INDEX(T_OrdenesTrabajo[En_Filtro],MATCH(B288,T_OrdenesTrabajo[ID_OT],0)),0)</f>
        <v>1</v>
      </c>
    </row>
    <row r="289" spans="1:11" x14ac:dyDescent="0.25">
      <c r="A289" s="8" t="s">
        <v>1452</v>
      </c>
      <c r="B289" s="8" t="s">
        <v>719</v>
      </c>
      <c r="C289" s="8" t="s">
        <v>1167</v>
      </c>
      <c r="D289" s="8" t="s">
        <v>214</v>
      </c>
      <c r="E289" s="8">
        <v>2</v>
      </c>
      <c r="F289" s="10">
        <v>12200</v>
      </c>
      <c r="G289" s="10">
        <v>21300</v>
      </c>
      <c r="H289" s="10">
        <f t="shared" si="12"/>
        <v>24400</v>
      </c>
      <c r="I289" s="10">
        <f t="shared" si="13"/>
        <v>42600</v>
      </c>
      <c r="J289" s="8">
        <f t="shared" si="14"/>
        <v>0</v>
      </c>
      <c r="K289" s="8">
        <f>IFERROR(INDEX(T_OrdenesTrabajo[En_Filtro],MATCH(B289,T_OrdenesTrabajo[ID_OT],0)),0)</f>
        <v>1</v>
      </c>
    </row>
    <row r="290" spans="1:11" x14ac:dyDescent="0.25">
      <c r="A290" s="8" t="s">
        <v>1453</v>
      </c>
      <c r="B290" s="8" t="s">
        <v>724</v>
      </c>
      <c r="C290" s="8" t="s">
        <v>1164</v>
      </c>
      <c r="D290" s="8" t="s">
        <v>20</v>
      </c>
      <c r="E290" s="8">
        <v>9</v>
      </c>
      <c r="F290" s="10">
        <v>6040</v>
      </c>
      <c r="G290" s="10">
        <v>8830</v>
      </c>
      <c r="H290" s="10">
        <f t="shared" si="12"/>
        <v>54360</v>
      </c>
      <c r="I290" s="10">
        <f t="shared" si="13"/>
        <v>79470</v>
      </c>
      <c r="J290" s="8">
        <f t="shared" si="14"/>
        <v>0</v>
      </c>
      <c r="K290" s="8">
        <f>IFERROR(INDEX(T_OrdenesTrabajo[En_Filtro],MATCH(B290,T_OrdenesTrabajo[ID_OT],0)),0)</f>
        <v>1</v>
      </c>
    </row>
    <row r="291" spans="1:11" x14ac:dyDescent="0.25">
      <c r="A291" s="8" t="s">
        <v>1454</v>
      </c>
      <c r="B291" s="8" t="s">
        <v>724</v>
      </c>
      <c r="C291" s="8" t="s">
        <v>1164</v>
      </c>
      <c r="D291" s="8" t="s">
        <v>9</v>
      </c>
      <c r="E291" s="8">
        <v>3</v>
      </c>
      <c r="F291" s="10">
        <v>14140</v>
      </c>
      <c r="G291" s="10">
        <v>17430</v>
      </c>
      <c r="H291" s="10">
        <f t="shared" si="12"/>
        <v>42420</v>
      </c>
      <c r="I291" s="10">
        <f t="shared" si="13"/>
        <v>52290</v>
      </c>
      <c r="J291" s="8">
        <f t="shared" si="14"/>
        <v>0</v>
      </c>
      <c r="K291" s="8">
        <f>IFERROR(INDEX(T_OrdenesTrabajo[En_Filtro],MATCH(B291,T_OrdenesTrabajo[ID_OT],0)),0)</f>
        <v>1</v>
      </c>
    </row>
    <row r="292" spans="1:11" x14ac:dyDescent="0.25">
      <c r="A292" s="8" t="s">
        <v>1455</v>
      </c>
      <c r="B292" s="8" t="s">
        <v>724</v>
      </c>
      <c r="C292" s="8" t="s">
        <v>1167</v>
      </c>
      <c r="D292" s="8" t="s">
        <v>219</v>
      </c>
      <c r="E292" s="8">
        <v>3</v>
      </c>
      <c r="F292" s="10">
        <v>13100</v>
      </c>
      <c r="G292" s="10">
        <v>22600</v>
      </c>
      <c r="H292" s="10">
        <f t="shared" si="12"/>
        <v>39300</v>
      </c>
      <c r="I292" s="10">
        <f t="shared" si="13"/>
        <v>67800</v>
      </c>
      <c r="J292" s="8">
        <f t="shared" si="14"/>
        <v>0</v>
      </c>
      <c r="K292" s="8">
        <f>IFERROR(INDEX(T_OrdenesTrabajo[En_Filtro],MATCH(B292,T_OrdenesTrabajo[ID_OT],0)),0)</f>
        <v>1</v>
      </c>
    </row>
    <row r="293" spans="1:11" x14ac:dyDescent="0.25">
      <c r="A293" s="8" t="s">
        <v>1456</v>
      </c>
      <c r="B293" s="8" t="s">
        <v>724</v>
      </c>
      <c r="C293" s="8" t="s">
        <v>1167</v>
      </c>
      <c r="D293" s="8" t="s">
        <v>231</v>
      </c>
      <c r="E293" s="8">
        <v>5</v>
      </c>
      <c r="F293" s="10">
        <v>15000</v>
      </c>
      <c r="G293" s="10">
        <v>27900</v>
      </c>
      <c r="H293" s="10">
        <f t="shared" si="12"/>
        <v>75000</v>
      </c>
      <c r="I293" s="10">
        <f t="shared" si="13"/>
        <v>139500</v>
      </c>
      <c r="J293" s="8">
        <f t="shared" si="14"/>
        <v>0</v>
      </c>
      <c r="K293" s="8">
        <f>IFERROR(INDEX(T_OrdenesTrabajo[En_Filtro],MATCH(B293,T_OrdenesTrabajo[ID_OT],0)),0)</f>
        <v>1</v>
      </c>
    </row>
    <row r="294" spans="1:11" x14ac:dyDescent="0.25">
      <c r="A294" s="8" t="s">
        <v>1457</v>
      </c>
      <c r="B294" s="8" t="s">
        <v>729</v>
      </c>
      <c r="C294" s="8" t="s">
        <v>1164</v>
      </c>
      <c r="D294" s="8" t="s">
        <v>9</v>
      </c>
      <c r="E294" s="8">
        <v>1</v>
      </c>
      <c r="F294" s="10">
        <v>15990</v>
      </c>
      <c r="G294" s="10">
        <v>21430</v>
      </c>
      <c r="H294" s="10">
        <f t="shared" si="12"/>
        <v>15990</v>
      </c>
      <c r="I294" s="10">
        <f t="shared" si="13"/>
        <v>21430</v>
      </c>
      <c r="J294" s="8">
        <f t="shared" si="14"/>
        <v>0</v>
      </c>
      <c r="K294" s="8">
        <f>IFERROR(INDEX(T_OrdenesTrabajo[En_Filtro],MATCH(B294,T_OrdenesTrabajo[ID_OT],0)),0)</f>
        <v>1</v>
      </c>
    </row>
    <row r="295" spans="1:11" x14ac:dyDescent="0.25">
      <c r="A295" s="8" t="s">
        <v>1458</v>
      </c>
      <c r="B295" s="8" t="s">
        <v>729</v>
      </c>
      <c r="C295" s="8" t="s">
        <v>1164</v>
      </c>
      <c r="D295" s="8" t="s">
        <v>20</v>
      </c>
      <c r="E295" s="8">
        <v>9</v>
      </c>
      <c r="F295" s="10">
        <v>6680</v>
      </c>
      <c r="G295" s="10">
        <v>8640</v>
      </c>
      <c r="H295" s="10">
        <f t="shared" si="12"/>
        <v>60120</v>
      </c>
      <c r="I295" s="10">
        <f t="shared" si="13"/>
        <v>77760</v>
      </c>
      <c r="J295" s="8">
        <f t="shared" si="14"/>
        <v>0</v>
      </c>
      <c r="K295" s="8">
        <f>IFERROR(INDEX(T_OrdenesTrabajo[En_Filtro],MATCH(B295,T_OrdenesTrabajo[ID_OT],0)),0)</f>
        <v>1</v>
      </c>
    </row>
    <row r="296" spans="1:11" x14ac:dyDescent="0.25">
      <c r="A296" s="8" t="s">
        <v>1459</v>
      </c>
      <c r="B296" s="8" t="s">
        <v>729</v>
      </c>
      <c r="C296" s="8" t="s">
        <v>1164</v>
      </c>
      <c r="D296" s="8" t="s">
        <v>15</v>
      </c>
      <c r="E296" s="8">
        <v>3</v>
      </c>
      <c r="F296" s="10">
        <v>22610</v>
      </c>
      <c r="G296" s="10">
        <v>27430</v>
      </c>
      <c r="H296" s="10">
        <f t="shared" si="12"/>
        <v>67830</v>
      </c>
      <c r="I296" s="10">
        <f t="shared" si="13"/>
        <v>82290</v>
      </c>
      <c r="J296" s="8">
        <f t="shared" si="14"/>
        <v>0</v>
      </c>
      <c r="K296" s="8">
        <f>IFERROR(INDEX(T_OrdenesTrabajo[En_Filtro],MATCH(B296,T_OrdenesTrabajo[ID_OT],0)),0)</f>
        <v>1</v>
      </c>
    </row>
    <row r="297" spans="1:11" x14ac:dyDescent="0.25">
      <c r="A297" s="8" t="s">
        <v>1460</v>
      </c>
      <c r="B297" s="8" t="s">
        <v>729</v>
      </c>
      <c r="C297" s="8" t="s">
        <v>1167</v>
      </c>
      <c r="D297" s="8" t="s">
        <v>214</v>
      </c>
      <c r="E297" s="8">
        <v>2</v>
      </c>
      <c r="F297" s="10">
        <v>12900</v>
      </c>
      <c r="G297" s="10">
        <v>23200</v>
      </c>
      <c r="H297" s="10">
        <f t="shared" si="12"/>
        <v>25800</v>
      </c>
      <c r="I297" s="10">
        <f t="shared" si="13"/>
        <v>46400</v>
      </c>
      <c r="J297" s="8">
        <f t="shared" si="14"/>
        <v>0</v>
      </c>
      <c r="K297" s="8">
        <f>IFERROR(INDEX(T_OrdenesTrabajo[En_Filtro],MATCH(B297,T_OrdenesTrabajo[ID_OT],0)),0)</f>
        <v>1</v>
      </c>
    </row>
    <row r="298" spans="1:11" x14ac:dyDescent="0.25">
      <c r="A298" s="8" t="s">
        <v>1461</v>
      </c>
      <c r="B298" s="8" t="s">
        <v>734</v>
      </c>
      <c r="C298" s="8" t="s">
        <v>1164</v>
      </c>
      <c r="D298" s="8" t="s">
        <v>9</v>
      </c>
      <c r="E298" s="8">
        <v>1</v>
      </c>
      <c r="F298" s="10">
        <v>13950</v>
      </c>
      <c r="G298" s="10">
        <v>17120</v>
      </c>
      <c r="H298" s="10">
        <f t="shared" si="12"/>
        <v>13950</v>
      </c>
      <c r="I298" s="10">
        <f t="shared" si="13"/>
        <v>17120</v>
      </c>
      <c r="J298" s="8">
        <f t="shared" si="14"/>
        <v>0</v>
      </c>
      <c r="K298" s="8">
        <f>IFERROR(INDEX(T_OrdenesTrabajo[En_Filtro],MATCH(B298,T_OrdenesTrabajo[ID_OT],0)),0)</f>
        <v>1</v>
      </c>
    </row>
    <row r="299" spans="1:11" x14ac:dyDescent="0.25">
      <c r="A299" s="8" t="s">
        <v>1462</v>
      </c>
      <c r="B299" s="8" t="s">
        <v>734</v>
      </c>
      <c r="C299" s="8" t="s">
        <v>1164</v>
      </c>
      <c r="D299" s="8" t="s">
        <v>17</v>
      </c>
      <c r="E299" s="8">
        <v>13</v>
      </c>
      <c r="F299" s="10">
        <v>5320</v>
      </c>
      <c r="G299" s="10">
        <v>7100</v>
      </c>
      <c r="H299" s="10">
        <f t="shared" si="12"/>
        <v>69160</v>
      </c>
      <c r="I299" s="10">
        <f t="shared" si="13"/>
        <v>92300</v>
      </c>
      <c r="J299" s="8">
        <f t="shared" si="14"/>
        <v>0</v>
      </c>
      <c r="K299" s="8">
        <f>IFERROR(INDEX(T_OrdenesTrabajo[En_Filtro],MATCH(B299,T_OrdenesTrabajo[ID_OT],0)),0)</f>
        <v>1</v>
      </c>
    </row>
    <row r="300" spans="1:11" x14ac:dyDescent="0.25">
      <c r="A300" s="8" t="s">
        <v>1463</v>
      </c>
      <c r="B300" s="8" t="s">
        <v>734</v>
      </c>
      <c r="C300" s="8" t="s">
        <v>1167</v>
      </c>
      <c r="D300" s="8" t="s">
        <v>219</v>
      </c>
      <c r="E300" s="8">
        <v>4</v>
      </c>
      <c r="F300" s="10">
        <v>13300</v>
      </c>
      <c r="G300" s="10">
        <v>21400</v>
      </c>
      <c r="H300" s="10">
        <f t="shared" si="12"/>
        <v>53200</v>
      </c>
      <c r="I300" s="10">
        <f t="shared" si="13"/>
        <v>85600</v>
      </c>
      <c r="J300" s="8">
        <f t="shared" si="14"/>
        <v>0</v>
      </c>
      <c r="K300" s="8">
        <f>IFERROR(INDEX(T_OrdenesTrabajo[En_Filtro],MATCH(B300,T_OrdenesTrabajo[ID_OT],0)),0)</f>
        <v>1</v>
      </c>
    </row>
    <row r="301" spans="1:11" x14ac:dyDescent="0.25">
      <c r="A301" s="8" t="s">
        <v>1464</v>
      </c>
      <c r="B301" s="8" t="s">
        <v>739</v>
      </c>
      <c r="C301" s="8" t="s">
        <v>1164</v>
      </c>
      <c r="D301" s="8" t="s">
        <v>65</v>
      </c>
      <c r="E301" s="8">
        <v>2</v>
      </c>
      <c r="F301" s="10">
        <v>21470</v>
      </c>
      <c r="G301" s="10">
        <v>29010</v>
      </c>
      <c r="H301" s="10">
        <f t="shared" si="12"/>
        <v>42940</v>
      </c>
      <c r="I301" s="10">
        <f t="shared" si="13"/>
        <v>58020</v>
      </c>
      <c r="J301" s="8">
        <f t="shared" si="14"/>
        <v>0</v>
      </c>
      <c r="K301" s="8">
        <f>IFERROR(INDEX(T_OrdenesTrabajo[En_Filtro],MATCH(B301,T_OrdenesTrabajo[ID_OT],0)),0)</f>
        <v>1</v>
      </c>
    </row>
    <row r="302" spans="1:11" x14ac:dyDescent="0.25">
      <c r="A302" s="8" t="s">
        <v>1465</v>
      </c>
      <c r="B302" s="8" t="s">
        <v>739</v>
      </c>
      <c r="C302" s="8" t="s">
        <v>1164</v>
      </c>
      <c r="D302" s="8" t="s">
        <v>22</v>
      </c>
      <c r="E302" s="8">
        <v>12</v>
      </c>
      <c r="F302" s="10">
        <v>4620</v>
      </c>
      <c r="G302" s="10">
        <v>6610</v>
      </c>
      <c r="H302" s="10">
        <f t="shared" si="12"/>
        <v>55440</v>
      </c>
      <c r="I302" s="10">
        <f t="shared" si="13"/>
        <v>79320</v>
      </c>
      <c r="J302" s="8">
        <f t="shared" si="14"/>
        <v>0</v>
      </c>
      <c r="K302" s="8">
        <f>IFERROR(INDEX(T_OrdenesTrabajo[En_Filtro],MATCH(B302,T_OrdenesTrabajo[ID_OT],0)),0)</f>
        <v>1</v>
      </c>
    </row>
    <row r="303" spans="1:11" x14ac:dyDescent="0.25">
      <c r="A303" s="8" t="s">
        <v>1466</v>
      </c>
      <c r="B303" s="8" t="s">
        <v>739</v>
      </c>
      <c r="C303" s="8" t="s">
        <v>1167</v>
      </c>
      <c r="D303" s="8" t="s">
        <v>219</v>
      </c>
      <c r="E303" s="8">
        <v>9</v>
      </c>
      <c r="F303" s="10">
        <v>12000</v>
      </c>
      <c r="G303" s="10">
        <v>21000</v>
      </c>
      <c r="H303" s="10">
        <f t="shared" si="12"/>
        <v>108000</v>
      </c>
      <c r="I303" s="10">
        <f t="shared" si="13"/>
        <v>189000</v>
      </c>
      <c r="J303" s="8">
        <f t="shared" si="14"/>
        <v>0</v>
      </c>
      <c r="K303" s="8">
        <f>IFERROR(INDEX(T_OrdenesTrabajo[En_Filtro],MATCH(B303,T_OrdenesTrabajo[ID_OT],0)),0)</f>
        <v>1</v>
      </c>
    </row>
    <row r="304" spans="1:11" x14ac:dyDescent="0.25">
      <c r="A304" s="8" t="s">
        <v>1467</v>
      </c>
      <c r="B304" s="8" t="s">
        <v>744</v>
      </c>
      <c r="C304" s="8" t="s">
        <v>1164</v>
      </c>
      <c r="D304" s="8" t="s">
        <v>15</v>
      </c>
      <c r="E304" s="8">
        <v>1</v>
      </c>
      <c r="F304" s="10">
        <v>23900</v>
      </c>
      <c r="G304" s="10">
        <v>29640</v>
      </c>
      <c r="H304" s="10">
        <f t="shared" si="12"/>
        <v>23900</v>
      </c>
      <c r="I304" s="10">
        <f t="shared" si="13"/>
        <v>29640</v>
      </c>
      <c r="J304" s="8">
        <f t="shared" si="14"/>
        <v>0</v>
      </c>
      <c r="K304" s="8">
        <f>IFERROR(INDEX(T_OrdenesTrabajo[En_Filtro],MATCH(B304,T_OrdenesTrabajo[ID_OT],0)),0)</f>
        <v>1</v>
      </c>
    </row>
    <row r="305" spans="1:11" x14ac:dyDescent="0.25">
      <c r="A305" s="8" t="s">
        <v>1468</v>
      </c>
      <c r="B305" s="8" t="s">
        <v>744</v>
      </c>
      <c r="C305" s="8" t="s">
        <v>1164</v>
      </c>
      <c r="D305" s="8" t="s">
        <v>13</v>
      </c>
      <c r="E305" s="8">
        <v>1</v>
      </c>
      <c r="F305" s="10">
        <v>30560</v>
      </c>
      <c r="G305" s="10">
        <v>43300</v>
      </c>
      <c r="H305" s="10">
        <f t="shared" si="12"/>
        <v>30560</v>
      </c>
      <c r="I305" s="10">
        <f t="shared" si="13"/>
        <v>43300</v>
      </c>
      <c r="J305" s="8">
        <f t="shared" si="14"/>
        <v>0</v>
      </c>
      <c r="K305" s="8">
        <f>IFERROR(INDEX(T_OrdenesTrabajo[En_Filtro],MATCH(B305,T_OrdenesTrabajo[ID_OT],0)),0)</f>
        <v>1</v>
      </c>
    </row>
    <row r="306" spans="1:11" x14ac:dyDescent="0.25">
      <c r="A306" s="8" t="s">
        <v>1469</v>
      </c>
      <c r="B306" s="8" t="s">
        <v>744</v>
      </c>
      <c r="C306" s="8" t="s">
        <v>1167</v>
      </c>
      <c r="D306" s="8" t="s">
        <v>219</v>
      </c>
      <c r="E306" s="8">
        <v>4</v>
      </c>
      <c r="F306" s="10">
        <v>11500</v>
      </c>
      <c r="G306" s="10">
        <v>23000</v>
      </c>
      <c r="H306" s="10">
        <f t="shared" si="12"/>
        <v>46000</v>
      </c>
      <c r="I306" s="10">
        <f t="shared" si="13"/>
        <v>92000</v>
      </c>
      <c r="J306" s="8">
        <f t="shared" si="14"/>
        <v>0</v>
      </c>
      <c r="K306" s="8">
        <f>IFERROR(INDEX(T_OrdenesTrabajo[En_Filtro],MATCH(B306,T_OrdenesTrabajo[ID_OT],0)),0)</f>
        <v>1</v>
      </c>
    </row>
    <row r="307" spans="1:11" x14ac:dyDescent="0.25">
      <c r="A307" s="8" t="s">
        <v>1470</v>
      </c>
      <c r="B307" s="8" t="s">
        <v>749</v>
      </c>
      <c r="C307" s="8" t="s">
        <v>1164</v>
      </c>
      <c r="D307" s="8" t="s">
        <v>22</v>
      </c>
      <c r="E307" s="8">
        <v>16</v>
      </c>
      <c r="F307" s="10">
        <v>4410</v>
      </c>
      <c r="G307" s="10">
        <v>5270</v>
      </c>
      <c r="H307" s="10">
        <f t="shared" si="12"/>
        <v>70560</v>
      </c>
      <c r="I307" s="10">
        <f t="shared" si="13"/>
        <v>84320</v>
      </c>
      <c r="J307" s="8">
        <f t="shared" si="14"/>
        <v>0</v>
      </c>
      <c r="K307" s="8">
        <f>IFERROR(INDEX(T_OrdenesTrabajo[En_Filtro],MATCH(B307,T_OrdenesTrabajo[ID_OT],0)),0)</f>
        <v>1</v>
      </c>
    </row>
    <row r="308" spans="1:11" x14ac:dyDescent="0.25">
      <c r="A308" s="8" t="s">
        <v>1471</v>
      </c>
      <c r="B308" s="8" t="s">
        <v>749</v>
      </c>
      <c r="C308" s="8" t="s">
        <v>1164</v>
      </c>
      <c r="D308" s="8" t="s">
        <v>15</v>
      </c>
      <c r="E308" s="8">
        <v>2</v>
      </c>
      <c r="F308" s="10">
        <v>21720</v>
      </c>
      <c r="G308" s="10">
        <v>29370</v>
      </c>
      <c r="H308" s="10">
        <f t="shared" si="12"/>
        <v>43440</v>
      </c>
      <c r="I308" s="10">
        <f t="shared" si="13"/>
        <v>58740</v>
      </c>
      <c r="J308" s="8">
        <f t="shared" si="14"/>
        <v>0</v>
      </c>
      <c r="K308" s="8">
        <f>IFERROR(INDEX(T_OrdenesTrabajo[En_Filtro],MATCH(B308,T_OrdenesTrabajo[ID_OT],0)),0)</f>
        <v>1</v>
      </c>
    </row>
    <row r="309" spans="1:11" x14ac:dyDescent="0.25">
      <c r="A309" s="8" t="s">
        <v>1472</v>
      </c>
      <c r="B309" s="8" t="s">
        <v>749</v>
      </c>
      <c r="C309" s="8" t="s">
        <v>1167</v>
      </c>
      <c r="D309" s="8" t="s">
        <v>214</v>
      </c>
      <c r="E309" s="8">
        <v>6</v>
      </c>
      <c r="F309" s="10">
        <v>13800</v>
      </c>
      <c r="G309" s="10">
        <v>22200</v>
      </c>
      <c r="H309" s="10">
        <f t="shared" si="12"/>
        <v>82800</v>
      </c>
      <c r="I309" s="10">
        <f t="shared" si="13"/>
        <v>133200</v>
      </c>
      <c r="J309" s="8">
        <f t="shared" si="14"/>
        <v>0</v>
      </c>
      <c r="K309" s="8">
        <f>IFERROR(INDEX(T_OrdenesTrabajo[En_Filtro],MATCH(B309,T_OrdenesTrabajo[ID_OT],0)),0)</f>
        <v>1</v>
      </c>
    </row>
    <row r="310" spans="1:11" x14ac:dyDescent="0.25">
      <c r="A310" s="8" t="s">
        <v>1473</v>
      </c>
      <c r="B310" s="8" t="s">
        <v>754</v>
      </c>
      <c r="C310" s="8" t="s">
        <v>1164</v>
      </c>
      <c r="D310" s="8" t="s">
        <v>59</v>
      </c>
      <c r="E310" s="8">
        <v>1</v>
      </c>
      <c r="F310" s="10">
        <v>15300</v>
      </c>
      <c r="G310" s="10">
        <v>19440</v>
      </c>
      <c r="H310" s="10">
        <f t="shared" si="12"/>
        <v>15300</v>
      </c>
      <c r="I310" s="10">
        <f t="shared" si="13"/>
        <v>19440</v>
      </c>
      <c r="J310" s="8">
        <f t="shared" si="14"/>
        <v>0</v>
      </c>
      <c r="K310" s="8">
        <f>IFERROR(INDEX(T_OrdenesTrabajo[En_Filtro],MATCH(B310,T_OrdenesTrabajo[ID_OT],0)),0)</f>
        <v>1</v>
      </c>
    </row>
    <row r="311" spans="1:11" x14ac:dyDescent="0.25">
      <c r="A311" s="8" t="s">
        <v>1474</v>
      </c>
      <c r="B311" s="8" t="s">
        <v>754</v>
      </c>
      <c r="C311" s="8" t="s">
        <v>1167</v>
      </c>
      <c r="D311" s="8" t="s">
        <v>217</v>
      </c>
      <c r="E311" s="8">
        <v>10</v>
      </c>
      <c r="F311" s="10">
        <v>11300</v>
      </c>
      <c r="G311" s="10">
        <v>23000</v>
      </c>
      <c r="H311" s="10">
        <f t="shared" si="12"/>
        <v>113000</v>
      </c>
      <c r="I311" s="10">
        <f t="shared" si="13"/>
        <v>230000</v>
      </c>
      <c r="J311" s="8">
        <f t="shared" si="14"/>
        <v>0</v>
      </c>
      <c r="K311" s="8">
        <f>IFERROR(INDEX(T_OrdenesTrabajo[En_Filtro],MATCH(B311,T_OrdenesTrabajo[ID_OT],0)),0)</f>
        <v>1</v>
      </c>
    </row>
    <row r="312" spans="1:11" x14ac:dyDescent="0.25">
      <c r="A312" s="8" t="s">
        <v>1475</v>
      </c>
      <c r="B312" s="8" t="s">
        <v>759</v>
      </c>
      <c r="C312" s="8" t="s">
        <v>1164</v>
      </c>
      <c r="D312" s="8" t="s">
        <v>59</v>
      </c>
      <c r="E312" s="8">
        <v>3</v>
      </c>
      <c r="F312" s="10">
        <v>15830</v>
      </c>
      <c r="G312" s="10">
        <v>11100</v>
      </c>
      <c r="H312" s="10">
        <f t="shared" si="12"/>
        <v>47490</v>
      </c>
      <c r="I312" s="10">
        <f t="shared" si="13"/>
        <v>33300</v>
      </c>
      <c r="J312" s="8">
        <f t="shared" si="14"/>
        <v>0</v>
      </c>
      <c r="K312" s="8">
        <f>IFERROR(INDEX(T_OrdenesTrabajo[En_Filtro],MATCH(B312,T_OrdenesTrabajo[ID_OT],0)),0)</f>
        <v>1</v>
      </c>
    </row>
    <row r="313" spans="1:11" x14ac:dyDescent="0.25">
      <c r="A313" s="8" t="s">
        <v>1476</v>
      </c>
      <c r="B313" s="8" t="s">
        <v>759</v>
      </c>
      <c r="C313" s="8" t="s">
        <v>1167</v>
      </c>
      <c r="D313" s="8" t="s">
        <v>219</v>
      </c>
      <c r="E313" s="8">
        <v>5</v>
      </c>
      <c r="F313" s="10">
        <v>11200</v>
      </c>
      <c r="G313" s="10">
        <v>10900</v>
      </c>
      <c r="H313" s="10">
        <f t="shared" si="12"/>
        <v>56000</v>
      </c>
      <c r="I313" s="10">
        <f t="shared" si="13"/>
        <v>54500</v>
      </c>
      <c r="J313" s="8">
        <f t="shared" si="14"/>
        <v>0</v>
      </c>
      <c r="K313" s="8">
        <f>IFERROR(INDEX(T_OrdenesTrabajo[En_Filtro],MATCH(B313,T_OrdenesTrabajo[ID_OT],0)),0)</f>
        <v>1</v>
      </c>
    </row>
    <row r="314" spans="1:11" x14ac:dyDescent="0.25">
      <c r="A314" s="8" t="s">
        <v>1477</v>
      </c>
      <c r="B314" s="8" t="s">
        <v>759</v>
      </c>
      <c r="C314" s="8" t="s">
        <v>1167</v>
      </c>
      <c r="D314" s="8" t="s">
        <v>228</v>
      </c>
      <c r="E314" s="8">
        <v>12</v>
      </c>
      <c r="F314" s="10">
        <v>14800</v>
      </c>
      <c r="G314" s="10">
        <v>13400</v>
      </c>
      <c r="H314" s="10">
        <f t="shared" si="12"/>
        <v>177600</v>
      </c>
      <c r="I314" s="10">
        <f t="shared" si="13"/>
        <v>160800</v>
      </c>
      <c r="J314" s="8">
        <f t="shared" si="14"/>
        <v>0</v>
      </c>
      <c r="K314" s="8">
        <f>IFERROR(INDEX(T_OrdenesTrabajo[En_Filtro],MATCH(B314,T_OrdenesTrabajo[ID_OT],0)),0)</f>
        <v>1</v>
      </c>
    </row>
    <row r="315" spans="1:11" x14ac:dyDescent="0.25">
      <c r="A315" s="8" t="s">
        <v>1478</v>
      </c>
      <c r="B315" s="8" t="s">
        <v>763</v>
      </c>
      <c r="C315" s="8" t="s">
        <v>1164</v>
      </c>
      <c r="D315" s="8" t="s">
        <v>24</v>
      </c>
      <c r="E315" s="8">
        <v>1</v>
      </c>
      <c r="F315" s="10">
        <v>420080</v>
      </c>
      <c r="G315" s="10">
        <v>516590</v>
      </c>
      <c r="H315" s="10">
        <f t="shared" si="12"/>
        <v>420080</v>
      </c>
      <c r="I315" s="10">
        <f t="shared" si="13"/>
        <v>516590</v>
      </c>
      <c r="J315" s="8">
        <f t="shared" si="14"/>
        <v>0</v>
      </c>
      <c r="K315" s="8">
        <f>IFERROR(INDEX(T_OrdenesTrabajo[En_Filtro],MATCH(B315,T_OrdenesTrabajo[ID_OT],0)),0)</f>
        <v>1</v>
      </c>
    </row>
    <row r="316" spans="1:11" x14ac:dyDescent="0.25">
      <c r="A316" s="8" t="s">
        <v>1479</v>
      </c>
      <c r="B316" s="8" t="s">
        <v>763</v>
      </c>
      <c r="C316" s="8" t="s">
        <v>1167</v>
      </c>
      <c r="D316" s="8" t="s">
        <v>226</v>
      </c>
      <c r="E316" s="8">
        <v>15</v>
      </c>
      <c r="F316" s="10">
        <v>14000</v>
      </c>
      <c r="G316" s="10">
        <v>26600</v>
      </c>
      <c r="H316" s="10">
        <f t="shared" si="12"/>
        <v>210000</v>
      </c>
      <c r="I316" s="10">
        <f t="shared" si="13"/>
        <v>399000</v>
      </c>
      <c r="J316" s="8">
        <f t="shared" si="14"/>
        <v>0</v>
      </c>
      <c r="K316" s="8">
        <f>IFERROR(INDEX(T_OrdenesTrabajo[En_Filtro],MATCH(B316,T_OrdenesTrabajo[ID_OT],0)),0)</f>
        <v>1</v>
      </c>
    </row>
    <row r="317" spans="1:11" x14ac:dyDescent="0.25">
      <c r="A317" s="8" t="s">
        <v>1480</v>
      </c>
      <c r="B317" s="8" t="s">
        <v>768</v>
      </c>
      <c r="C317" s="8" t="s">
        <v>1164</v>
      </c>
      <c r="D317" s="8" t="s">
        <v>59</v>
      </c>
      <c r="E317" s="8">
        <v>1</v>
      </c>
      <c r="F317" s="10">
        <v>13830</v>
      </c>
      <c r="G317" s="10">
        <v>20100</v>
      </c>
      <c r="H317" s="10">
        <f t="shared" si="12"/>
        <v>13830</v>
      </c>
      <c r="I317" s="10">
        <f t="shared" si="13"/>
        <v>20100</v>
      </c>
      <c r="J317" s="8">
        <f t="shared" si="14"/>
        <v>0</v>
      </c>
      <c r="K317" s="8">
        <f>IFERROR(INDEX(T_OrdenesTrabajo[En_Filtro],MATCH(B317,T_OrdenesTrabajo[ID_OT],0)),0)</f>
        <v>1</v>
      </c>
    </row>
    <row r="318" spans="1:11" x14ac:dyDescent="0.25">
      <c r="A318" s="8" t="s">
        <v>1481</v>
      </c>
      <c r="B318" s="8" t="s">
        <v>768</v>
      </c>
      <c r="C318" s="8" t="s">
        <v>1164</v>
      </c>
      <c r="D318" s="8" t="s">
        <v>33</v>
      </c>
      <c r="E318" s="8">
        <v>2</v>
      </c>
      <c r="F318" s="10">
        <v>203920</v>
      </c>
      <c r="G318" s="10">
        <v>265210</v>
      </c>
      <c r="H318" s="10">
        <f t="shared" si="12"/>
        <v>407840</v>
      </c>
      <c r="I318" s="10">
        <f t="shared" si="13"/>
        <v>530420</v>
      </c>
      <c r="J318" s="8">
        <f t="shared" si="14"/>
        <v>0</v>
      </c>
      <c r="K318" s="8">
        <f>IFERROR(INDEX(T_OrdenesTrabajo[En_Filtro],MATCH(B318,T_OrdenesTrabajo[ID_OT],0)),0)</f>
        <v>1</v>
      </c>
    </row>
    <row r="319" spans="1:11" x14ac:dyDescent="0.25">
      <c r="A319" s="8" t="s">
        <v>1482</v>
      </c>
      <c r="B319" s="8" t="s">
        <v>768</v>
      </c>
      <c r="C319" s="8" t="s">
        <v>1167</v>
      </c>
      <c r="D319" s="8" t="s">
        <v>217</v>
      </c>
      <c r="E319" s="8">
        <v>11</v>
      </c>
      <c r="F319" s="10">
        <v>13700</v>
      </c>
      <c r="G319" s="10">
        <v>22700</v>
      </c>
      <c r="H319" s="10">
        <f t="shared" si="12"/>
        <v>150700</v>
      </c>
      <c r="I319" s="10">
        <f t="shared" si="13"/>
        <v>249700</v>
      </c>
      <c r="J319" s="8">
        <f t="shared" si="14"/>
        <v>0</v>
      </c>
      <c r="K319" s="8">
        <f>IFERROR(INDEX(T_OrdenesTrabajo[En_Filtro],MATCH(B319,T_OrdenesTrabajo[ID_OT],0)),0)</f>
        <v>1</v>
      </c>
    </row>
    <row r="320" spans="1:11" x14ac:dyDescent="0.25">
      <c r="A320" s="8" t="s">
        <v>1483</v>
      </c>
      <c r="B320" s="8" t="s">
        <v>773</v>
      </c>
      <c r="C320" s="8" t="s">
        <v>1164</v>
      </c>
      <c r="D320" s="8" t="s">
        <v>59</v>
      </c>
      <c r="E320" s="8">
        <v>2</v>
      </c>
      <c r="F320" s="10">
        <v>14480</v>
      </c>
      <c r="G320" s="10">
        <v>18270</v>
      </c>
      <c r="H320" s="10">
        <f t="shared" si="12"/>
        <v>28960</v>
      </c>
      <c r="I320" s="10">
        <f t="shared" si="13"/>
        <v>36540</v>
      </c>
      <c r="J320" s="8">
        <f t="shared" si="14"/>
        <v>0</v>
      </c>
      <c r="K320" s="8">
        <f>IFERROR(INDEX(T_OrdenesTrabajo[En_Filtro],MATCH(B320,T_OrdenesTrabajo[ID_OT],0)),0)</f>
        <v>1</v>
      </c>
    </row>
    <row r="321" spans="1:11" x14ac:dyDescent="0.25">
      <c r="A321" s="8" t="s">
        <v>1484</v>
      </c>
      <c r="B321" s="8" t="s">
        <v>773</v>
      </c>
      <c r="C321" s="8" t="s">
        <v>1164</v>
      </c>
      <c r="D321" s="8" t="s">
        <v>27</v>
      </c>
      <c r="E321" s="8">
        <v>2</v>
      </c>
      <c r="F321" s="10">
        <v>107340</v>
      </c>
      <c r="G321" s="10">
        <v>146530</v>
      </c>
      <c r="H321" s="10">
        <f t="shared" si="12"/>
        <v>214680</v>
      </c>
      <c r="I321" s="10">
        <f t="shared" si="13"/>
        <v>293060</v>
      </c>
      <c r="J321" s="8">
        <f t="shared" si="14"/>
        <v>0</v>
      </c>
      <c r="K321" s="8">
        <f>IFERROR(INDEX(T_OrdenesTrabajo[En_Filtro],MATCH(B321,T_OrdenesTrabajo[ID_OT],0)),0)</f>
        <v>1</v>
      </c>
    </row>
    <row r="322" spans="1:11" x14ac:dyDescent="0.25">
      <c r="A322" s="8" t="s">
        <v>1485</v>
      </c>
      <c r="B322" s="8" t="s">
        <v>773</v>
      </c>
      <c r="C322" s="8" t="s">
        <v>1167</v>
      </c>
      <c r="D322" s="8" t="s">
        <v>214</v>
      </c>
      <c r="E322" s="8">
        <v>8</v>
      </c>
      <c r="F322" s="10">
        <v>13700</v>
      </c>
      <c r="G322" s="10">
        <v>22200</v>
      </c>
      <c r="H322" s="10">
        <f t="shared" ref="H322:H385" si="15">IF(OR(ISBLANK(F322),NOT(ISNUMBER(F322))),"",E322*F322)</f>
        <v>109600</v>
      </c>
      <c r="I322" s="10">
        <f t="shared" ref="I322:I385" si="16">IF(OR(ISBLANK(G322),NOT(ISNUMBER(G322))),"",E322*G322)</f>
        <v>177600</v>
      </c>
      <c r="J322" s="8">
        <f t="shared" ref="J322:J385" si="17">IF(AND(ISNUMBER(F322),ISNUMBER(G322)),0,1)</f>
        <v>0</v>
      </c>
      <c r="K322" s="8">
        <f>IFERROR(INDEX(T_OrdenesTrabajo[En_Filtro],MATCH(B322,T_OrdenesTrabajo[ID_OT],0)),0)</f>
        <v>1</v>
      </c>
    </row>
    <row r="323" spans="1:11" x14ac:dyDescent="0.25">
      <c r="A323" s="8" t="s">
        <v>1486</v>
      </c>
      <c r="B323" s="8" t="s">
        <v>773</v>
      </c>
      <c r="C323" s="8" t="s">
        <v>1167</v>
      </c>
      <c r="D323" s="8" t="s">
        <v>217</v>
      </c>
      <c r="E323" s="8">
        <v>9</v>
      </c>
      <c r="F323" s="10"/>
      <c r="G323" s="10">
        <v>23600</v>
      </c>
      <c r="H323" s="10" t="str">
        <f t="shared" si="15"/>
        <v/>
      </c>
      <c r="I323" s="10">
        <f t="shared" si="16"/>
        <v>212400</v>
      </c>
      <c r="J323" s="8">
        <f t="shared" si="17"/>
        <v>1</v>
      </c>
      <c r="K323" s="8">
        <f>IFERROR(INDEX(T_OrdenesTrabajo[En_Filtro],MATCH(B323,T_OrdenesTrabajo[ID_OT],0)),0)</f>
        <v>1</v>
      </c>
    </row>
    <row r="324" spans="1:11" x14ac:dyDescent="0.25">
      <c r="A324" s="8" t="s">
        <v>1487</v>
      </c>
      <c r="B324" s="8" t="s">
        <v>778</v>
      </c>
      <c r="C324" s="8" t="s">
        <v>1164</v>
      </c>
      <c r="D324" s="8" t="s">
        <v>50</v>
      </c>
      <c r="E324" s="8">
        <v>2</v>
      </c>
      <c r="F324" s="10">
        <v>270530</v>
      </c>
      <c r="G324" s="10">
        <v>345950</v>
      </c>
      <c r="H324" s="10">
        <f t="shared" si="15"/>
        <v>541060</v>
      </c>
      <c r="I324" s="10">
        <f t="shared" si="16"/>
        <v>691900</v>
      </c>
      <c r="J324" s="8">
        <f t="shared" si="17"/>
        <v>0</v>
      </c>
      <c r="K324" s="8">
        <f>IFERROR(INDEX(T_OrdenesTrabajo[En_Filtro],MATCH(B324,T_OrdenesTrabajo[ID_OT],0)),0)</f>
        <v>1</v>
      </c>
    </row>
    <row r="325" spans="1:11" x14ac:dyDescent="0.25">
      <c r="A325" s="8" t="s">
        <v>1488</v>
      </c>
      <c r="B325" s="8" t="s">
        <v>778</v>
      </c>
      <c r="C325" s="8" t="s">
        <v>1164</v>
      </c>
      <c r="D325" s="8" t="s">
        <v>27</v>
      </c>
      <c r="E325" s="8">
        <v>4</v>
      </c>
      <c r="F325" s="10">
        <v>104160</v>
      </c>
      <c r="G325" s="10">
        <v>150180</v>
      </c>
      <c r="H325" s="10">
        <f t="shared" si="15"/>
        <v>416640</v>
      </c>
      <c r="I325" s="10">
        <f t="shared" si="16"/>
        <v>600720</v>
      </c>
      <c r="J325" s="8">
        <f t="shared" si="17"/>
        <v>0</v>
      </c>
      <c r="K325" s="8">
        <f>IFERROR(INDEX(T_OrdenesTrabajo[En_Filtro],MATCH(B325,T_OrdenesTrabajo[ID_OT],0)),0)</f>
        <v>1</v>
      </c>
    </row>
    <row r="326" spans="1:11" x14ac:dyDescent="0.25">
      <c r="A326" s="8" t="s">
        <v>1489</v>
      </c>
      <c r="B326" s="8" t="s">
        <v>778</v>
      </c>
      <c r="C326" s="8" t="s">
        <v>1164</v>
      </c>
      <c r="D326" s="8" t="s">
        <v>29</v>
      </c>
      <c r="E326" s="8">
        <v>2</v>
      </c>
      <c r="F326" s="10">
        <v>79890</v>
      </c>
      <c r="G326" s="10">
        <v>95190</v>
      </c>
      <c r="H326" s="10">
        <f t="shared" si="15"/>
        <v>159780</v>
      </c>
      <c r="I326" s="10">
        <f t="shared" si="16"/>
        <v>190380</v>
      </c>
      <c r="J326" s="8">
        <f t="shared" si="17"/>
        <v>0</v>
      </c>
      <c r="K326" s="8">
        <f>IFERROR(INDEX(T_OrdenesTrabajo[En_Filtro],MATCH(B326,T_OrdenesTrabajo[ID_OT],0)),0)</f>
        <v>1</v>
      </c>
    </row>
    <row r="327" spans="1:11" x14ac:dyDescent="0.25">
      <c r="A327" s="8" t="s">
        <v>1490</v>
      </c>
      <c r="B327" s="8" t="s">
        <v>778</v>
      </c>
      <c r="C327" s="8" t="s">
        <v>1167</v>
      </c>
      <c r="D327" s="8" t="s">
        <v>221</v>
      </c>
      <c r="E327" s="8">
        <v>23</v>
      </c>
      <c r="F327" s="10">
        <v>14800</v>
      </c>
      <c r="G327" s="10">
        <v>25900</v>
      </c>
      <c r="H327" s="10">
        <f t="shared" si="15"/>
        <v>340400</v>
      </c>
      <c r="I327" s="10">
        <f t="shared" si="16"/>
        <v>595700</v>
      </c>
      <c r="J327" s="8">
        <f t="shared" si="17"/>
        <v>0</v>
      </c>
      <c r="K327" s="8">
        <f>IFERROR(INDEX(T_OrdenesTrabajo[En_Filtro],MATCH(B327,T_OrdenesTrabajo[ID_OT],0)),0)</f>
        <v>1</v>
      </c>
    </row>
    <row r="328" spans="1:11" x14ac:dyDescent="0.25">
      <c r="A328" s="8" t="s">
        <v>1491</v>
      </c>
      <c r="B328" s="8" t="s">
        <v>783</v>
      </c>
      <c r="C328" s="8" t="s">
        <v>1164</v>
      </c>
      <c r="D328" s="8" t="s">
        <v>15</v>
      </c>
      <c r="E328" s="8">
        <v>1</v>
      </c>
      <c r="F328" s="10">
        <v>20890</v>
      </c>
      <c r="G328" s="10">
        <v>28240</v>
      </c>
      <c r="H328" s="10">
        <f t="shared" si="15"/>
        <v>20890</v>
      </c>
      <c r="I328" s="10">
        <f t="shared" si="16"/>
        <v>28240</v>
      </c>
      <c r="J328" s="8">
        <f t="shared" si="17"/>
        <v>0</v>
      </c>
      <c r="K328" s="8">
        <f>IFERROR(INDEX(T_OrdenesTrabajo[En_Filtro],MATCH(B328,T_OrdenesTrabajo[ID_OT],0)),0)</f>
        <v>1</v>
      </c>
    </row>
    <row r="329" spans="1:11" x14ac:dyDescent="0.25">
      <c r="A329" s="8" t="s">
        <v>1492</v>
      </c>
      <c r="B329" s="8" t="s">
        <v>783</v>
      </c>
      <c r="C329" s="8" t="s">
        <v>1164</v>
      </c>
      <c r="D329" s="8" t="s">
        <v>13</v>
      </c>
      <c r="E329" s="8">
        <v>2</v>
      </c>
      <c r="F329" s="10">
        <v>31320</v>
      </c>
      <c r="G329" s="10">
        <v>46610</v>
      </c>
      <c r="H329" s="10">
        <f t="shared" si="15"/>
        <v>62640</v>
      </c>
      <c r="I329" s="10">
        <f t="shared" si="16"/>
        <v>93220</v>
      </c>
      <c r="J329" s="8">
        <f t="shared" si="17"/>
        <v>0</v>
      </c>
      <c r="K329" s="8">
        <f>IFERROR(INDEX(T_OrdenesTrabajo[En_Filtro],MATCH(B329,T_OrdenesTrabajo[ID_OT],0)),0)</f>
        <v>1</v>
      </c>
    </row>
    <row r="330" spans="1:11" x14ac:dyDescent="0.25">
      <c r="A330" s="8" t="s">
        <v>1493</v>
      </c>
      <c r="B330" s="8" t="s">
        <v>783</v>
      </c>
      <c r="C330" s="8" t="s">
        <v>1164</v>
      </c>
      <c r="D330" s="8" t="s">
        <v>65</v>
      </c>
      <c r="E330" s="8">
        <v>3</v>
      </c>
      <c r="F330" s="10">
        <v>23760</v>
      </c>
      <c r="G330" s="10">
        <v>33180</v>
      </c>
      <c r="H330" s="10">
        <f t="shared" si="15"/>
        <v>71280</v>
      </c>
      <c r="I330" s="10">
        <f t="shared" si="16"/>
        <v>99540</v>
      </c>
      <c r="J330" s="8">
        <f t="shared" si="17"/>
        <v>0</v>
      </c>
      <c r="K330" s="8">
        <f>IFERROR(INDEX(T_OrdenesTrabajo[En_Filtro],MATCH(B330,T_OrdenesTrabajo[ID_OT],0)),0)</f>
        <v>1</v>
      </c>
    </row>
    <row r="331" spans="1:11" x14ac:dyDescent="0.25">
      <c r="A331" s="8" t="s">
        <v>1494</v>
      </c>
      <c r="B331" s="8" t="s">
        <v>783</v>
      </c>
      <c r="C331" s="8" t="s">
        <v>1167</v>
      </c>
      <c r="D331" s="8" t="s">
        <v>217</v>
      </c>
      <c r="E331" s="8">
        <v>6</v>
      </c>
      <c r="F331" s="10">
        <v>12200</v>
      </c>
      <c r="G331" s="10">
        <v>22500</v>
      </c>
      <c r="H331" s="10">
        <f t="shared" si="15"/>
        <v>73200</v>
      </c>
      <c r="I331" s="10">
        <f t="shared" si="16"/>
        <v>135000</v>
      </c>
      <c r="J331" s="8">
        <f t="shared" si="17"/>
        <v>0</v>
      </c>
      <c r="K331" s="8">
        <f>IFERROR(INDEX(T_OrdenesTrabajo[En_Filtro],MATCH(B331,T_OrdenesTrabajo[ID_OT],0)),0)</f>
        <v>1</v>
      </c>
    </row>
    <row r="332" spans="1:11" x14ac:dyDescent="0.25">
      <c r="A332" s="8" t="s">
        <v>1495</v>
      </c>
      <c r="B332" s="8" t="s">
        <v>783</v>
      </c>
      <c r="C332" s="8" t="s">
        <v>1167</v>
      </c>
      <c r="D332" s="8" t="s">
        <v>219</v>
      </c>
      <c r="E332" s="8">
        <v>3</v>
      </c>
      <c r="F332" s="10">
        <v>13300</v>
      </c>
      <c r="G332" s="10">
        <v>24300</v>
      </c>
      <c r="H332" s="10">
        <f t="shared" si="15"/>
        <v>39900</v>
      </c>
      <c r="I332" s="10">
        <f t="shared" si="16"/>
        <v>72900</v>
      </c>
      <c r="J332" s="8">
        <f t="shared" si="17"/>
        <v>0</v>
      </c>
      <c r="K332" s="8">
        <f>IFERROR(INDEX(T_OrdenesTrabajo[En_Filtro],MATCH(B332,T_OrdenesTrabajo[ID_OT],0)),0)</f>
        <v>1</v>
      </c>
    </row>
    <row r="333" spans="1:11" x14ac:dyDescent="0.25">
      <c r="A333" s="8" t="s">
        <v>1496</v>
      </c>
      <c r="B333" s="8" t="s">
        <v>788</v>
      </c>
      <c r="C333" s="8" t="s">
        <v>1164</v>
      </c>
      <c r="D333" s="8" t="s">
        <v>63</v>
      </c>
      <c r="E333" s="8">
        <v>1</v>
      </c>
      <c r="F333" s="10">
        <v>71340</v>
      </c>
      <c r="G333" s="10">
        <v>93250</v>
      </c>
      <c r="H333" s="10">
        <f t="shared" si="15"/>
        <v>71340</v>
      </c>
      <c r="I333" s="10">
        <f t="shared" si="16"/>
        <v>93250</v>
      </c>
      <c r="J333" s="8">
        <f t="shared" si="17"/>
        <v>0</v>
      </c>
      <c r="K333" s="8">
        <f>IFERROR(INDEX(T_OrdenesTrabajo[En_Filtro],MATCH(B333,T_OrdenesTrabajo[ID_OT],0)),0)</f>
        <v>1</v>
      </c>
    </row>
    <row r="334" spans="1:11" x14ac:dyDescent="0.25">
      <c r="A334" s="8" t="s">
        <v>1497</v>
      </c>
      <c r="B334" s="8" t="s">
        <v>788</v>
      </c>
      <c r="C334" s="8" t="s">
        <v>1164</v>
      </c>
      <c r="D334" s="8" t="s">
        <v>22</v>
      </c>
      <c r="E334" s="8">
        <v>23</v>
      </c>
      <c r="F334" s="10">
        <v>4170</v>
      </c>
      <c r="G334" s="10">
        <v>5540</v>
      </c>
      <c r="H334" s="10">
        <f t="shared" si="15"/>
        <v>95910</v>
      </c>
      <c r="I334" s="10">
        <f t="shared" si="16"/>
        <v>127420</v>
      </c>
      <c r="J334" s="8">
        <f t="shared" si="17"/>
        <v>0</v>
      </c>
      <c r="K334" s="8">
        <f>IFERROR(INDEX(T_OrdenesTrabajo[En_Filtro],MATCH(B334,T_OrdenesTrabajo[ID_OT],0)),0)</f>
        <v>1</v>
      </c>
    </row>
    <row r="335" spans="1:11" x14ac:dyDescent="0.25">
      <c r="A335" s="8" t="s">
        <v>1498</v>
      </c>
      <c r="B335" s="8" t="s">
        <v>788</v>
      </c>
      <c r="C335" s="8" t="s">
        <v>1167</v>
      </c>
      <c r="D335" s="8" t="s">
        <v>217</v>
      </c>
      <c r="E335" s="8">
        <v>9</v>
      </c>
      <c r="F335" s="10">
        <v>13400</v>
      </c>
      <c r="G335" s="10">
        <v>24700</v>
      </c>
      <c r="H335" s="10">
        <f t="shared" si="15"/>
        <v>120600</v>
      </c>
      <c r="I335" s="10">
        <f t="shared" si="16"/>
        <v>222300</v>
      </c>
      <c r="J335" s="8">
        <f t="shared" si="17"/>
        <v>0</v>
      </c>
      <c r="K335" s="8">
        <f>IFERROR(INDEX(T_OrdenesTrabajo[En_Filtro],MATCH(B335,T_OrdenesTrabajo[ID_OT],0)),0)</f>
        <v>1</v>
      </c>
    </row>
    <row r="336" spans="1:11" x14ac:dyDescent="0.25">
      <c r="A336" s="8" t="s">
        <v>1499</v>
      </c>
      <c r="B336" s="8" t="s">
        <v>788</v>
      </c>
      <c r="C336" s="8" t="s">
        <v>1167</v>
      </c>
      <c r="D336" s="8" t="s">
        <v>217</v>
      </c>
      <c r="E336" s="8">
        <v>9</v>
      </c>
      <c r="F336" s="10">
        <v>12900</v>
      </c>
      <c r="G336" s="10">
        <v>22700</v>
      </c>
      <c r="H336" s="10">
        <f t="shared" si="15"/>
        <v>116100</v>
      </c>
      <c r="I336" s="10">
        <f t="shared" si="16"/>
        <v>204300</v>
      </c>
      <c r="J336" s="8">
        <f t="shared" si="17"/>
        <v>0</v>
      </c>
      <c r="K336" s="8">
        <f>IFERROR(INDEX(T_OrdenesTrabajo[En_Filtro],MATCH(B336,T_OrdenesTrabajo[ID_OT],0)),0)</f>
        <v>1</v>
      </c>
    </row>
    <row r="337" spans="1:11" x14ac:dyDescent="0.25">
      <c r="A337" s="8" t="s">
        <v>1500</v>
      </c>
      <c r="B337" s="8" t="s">
        <v>793</v>
      </c>
      <c r="C337" s="8" t="s">
        <v>1164</v>
      </c>
      <c r="D337" s="8" t="s">
        <v>59</v>
      </c>
      <c r="E337" s="8">
        <v>1</v>
      </c>
      <c r="F337" s="10">
        <v>15950</v>
      </c>
      <c r="G337" s="10">
        <v>20460</v>
      </c>
      <c r="H337" s="10">
        <f t="shared" si="15"/>
        <v>15950</v>
      </c>
      <c r="I337" s="10">
        <f t="shared" si="16"/>
        <v>20460</v>
      </c>
      <c r="J337" s="8">
        <f t="shared" si="17"/>
        <v>0</v>
      </c>
      <c r="K337" s="8">
        <f>IFERROR(INDEX(T_OrdenesTrabajo[En_Filtro],MATCH(B337,T_OrdenesTrabajo[ID_OT],0)),0)</f>
        <v>1</v>
      </c>
    </row>
    <row r="338" spans="1:11" x14ac:dyDescent="0.25">
      <c r="A338" s="8" t="s">
        <v>1501</v>
      </c>
      <c r="B338" s="8" t="s">
        <v>793</v>
      </c>
      <c r="C338" s="8" t="s">
        <v>1164</v>
      </c>
      <c r="D338" s="8" t="s">
        <v>63</v>
      </c>
      <c r="E338" s="8">
        <v>2</v>
      </c>
      <c r="F338" s="10">
        <v>66370</v>
      </c>
      <c r="G338" s="10">
        <v>83990</v>
      </c>
      <c r="H338" s="10">
        <f t="shared" si="15"/>
        <v>132740</v>
      </c>
      <c r="I338" s="10">
        <f t="shared" si="16"/>
        <v>167980</v>
      </c>
      <c r="J338" s="8">
        <f t="shared" si="17"/>
        <v>0</v>
      </c>
      <c r="K338" s="8">
        <f>IFERROR(INDEX(T_OrdenesTrabajo[En_Filtro],MATCH(B338,T_OrdenesTrabajo[ID_OT],0)),0)</f>
        <v>1</v>
      </c>
    </row>
    <row r="339" spans="1:11" x14ac:dyDescent="0.25">
      <c r="A339" s="8" t="s">
        <v>1502</v>
      </c>
      <c r="B339" s="8" t="s">
        <v>793</v>
      </c>
      <c r="C339" s="8" t="s">
        <v>1164</v>
      </c>
      <c r="D339" s="8" t="s">
        <v>57</v>
      </c>
      <c r="E339" s="8">
        <v>3</v>
      </c>
      <c r="F339" s="10">
        <v>115780</v>
      </c>
      <c r="G339" s="10">
        <v>170010</v>
      </c>
      <c r="H339" s="10">
        <f t="shared" si="15"/>
        <v>347340</v>
      </c>
      <c r="I339" s="10">
        <f t="shared" si="16"/>
        <v>510030</v>
      </c>
      <c r="J339" s="8">
        <f t="shared" si="17"/>
        <v>0</v>
      </c>
      <c r="K339" s="8">
        <f>IFERROR(INDEX(T_OrdenesTrabajo[En_Filtro],MATCH(B339,T_OrdenesTrabajo[ID_OT],0)),0)</f>
        <v>1</v>
      </c>
    </row>
    <row r="340" spans="1:11" x14ac:dyDescent="0.25">
      <c r="A340" s="8" t="s">
        <v>1503</v>
      </c>
      <c r="B340" s="8" t="s">
        <v>793</v>
      </c>
      <c r="C340" s="8" t="s">
        <v>1167</v>
      </c>
      <c r="D340" s="8" t="s">
        <v>231</v>
      </c>
      <c r="E340" s="8">
        <v>7</v>
      </c>
      <c r="F340" s="10">
        <v>13600</v>
      </c>
      <c r="G340" s="10">
        <v>28100</v>
      </c>
      <c r="H340" s="10">
        <f t="shared" si="15"/>
        <v>95200</v>
      </c>
      <c r="I340" s="10">
        <f t="shared" si="16"/>
        <v>196700</v>
      </c>
      <c r="J340" s="8">
        <f t="shared" si="17"/>
        <v>0</v>
      </c>
      <c r="K340" s="8">
        <f>IFERROR(INDEX(T_OrdenesTrabajo[En_Filtro],MATCH(B340,T_OrdenesTrabajo[ID_OT],0)),0)</f>
        <v>1</v>
      </c>
    </row>
    <row r="341" spans="1:11" x14ac:dyDescent="0.25">
      <c r="A341" s="8" t="s">
        <v>1504</v>
      </c>
      <c r="B341" s="8" t="s">
        <v>798</v>
      </c>
      <c r="C341" s="8" t="s">
        <v>1164</v>
      </c>
      <c r="D341" s="8" t="s">
        <v>13</v>
      </c>
      <c r="E341" s="8">
        <v>2</v>
      </c>
      <c r="F341" s="10">
        <v>29740</v>
      </c>
      <c r="G341" s="10">
        <v>38550</v>
      </c>
      <c r="H341" s="10">
        <f t="shared" si="15"/>
        <v>59480</v>
      </c>
      <c r="I341" s="10">
        <f t="shared" si="16"/>
        <v>77100</v>
      </c>
      <c r="J341" s="8">
        <f t="shared" si="17"/>
        <v>0</v>
      </c>
      <c r="K341" s="8">
        <f>IFERROR(INDEX(T_OrdenesTrabajo[En_Filtro],MATCH(B341,T_OrdenesTrabajo[ID_OT],0)),0)</f>
        <v>1</v>
      </c>
    </row>
    <row r="342" spans="1:11" x14ac:dyDescent="0.25">
      <c r="A342" s="8" t="s">
        <v>1505</v>
      </c>
      <c r="B342" s="8" t="s">
        <v>798</v>
      </c>
      <c r="C342" s="8" t="s">
        <v>1164</v>
      </c>
      <c r="D342" s="8" t="s">
        <v>27</v>
      </c>
      <c r="E342" s="8">
        <v>2</v>
      </c>
      <c r="F342" s="10">
        <v>103270</v>
      </c>
      <c r="G342" s="10">
        <v>137190</v>
      </c>
      <c r="H342" s="10">
        <f t="shared" si="15"/>
        <v>206540</v>
      </c>
      <c r="I342" s="10">
        <f t="shared" si="16"/>
        <v>274380</v>
      </c>
      <c r="J342" s="8">
        <f t="shared" si="17"/>
        <v>0</v>
      </c>
      <c r="K342" s="8">
        <f>IFERROR(INDEX(T_OrdenesTrabajo[En_Filtro],MATCH(B342,T_OrdenesTrabajo[ID_OT],0)),0)</f>
        <v>1</v>
      </c>
    </row>
    <row r="343" spans="1:11" x14ac:dyDescent="0.25">
      <c r="A343" s="8" t="s">
        <v>1506</v>
      </c>
      <c r="B343" s="8" t="s">
        <v>798</v>
      </c>
      <c r="C343" s="8" t="s">
        <v>1167</v>
      </c>
      <c r="D343" s="8" t="s">
        <v>214</v>
      </c>
      <c r="E343" s="8">
        <v>14</v>
      </c>
      <c r="F343" s="10">
        <v>11400</v>
      </c>
      <c r="G343" s="10">
        <v>22300</v>
      </c>
      <c r="H343" s="10">
        <f t="shared" si="15"/>
        <v>159600</v>
      </c>
      <c r="I343" s="10">
        <f t="shared" si="16"/>
        <v>312200</v>
      </c>
      <c r="J343" s="8">
        <f t="shared" si="17"/>
        <v>0</v>
      </c>
      <c r="K343" s="8">
        <f>IFERROR(INDEX(T_OrdenesTrabajo[En_Filtro],MATCH(B343,T_OrdenesTrabajo[ID_OT],0)),0)</f>
        <v>1</v>
      </c>
    </row>
    <row r="344" spans="1:11" x14ac:dyDescent="0.25">
      <c r="A344" s="8" t="s">
        <v>1507</v>
      </c>
      <c r="B344" s="8" t="s">
        <v>798</v>
      </c>
      <c r="C344" s="8" t="s">
        <v>1167</v>
      </c>
      <c r="D344" s="8" t="s">
        <v>219</v>
      </c>
      <c r="E344" s="8">
        <v>12</v>
      </c>
      <c r="F344" s="10">
        <v>11600</v>
      </c>
      <c r="G344" s="10">
        <v>22400</v>
      </c>
      <c r="H344" s="10">
        <f t="shared" si="15"/>
        <v>139200</v>
      </c>
      <c r="I344" s="10">
        <f t="shared" si="16"/>
        <v>268800</v>
      </c>
      <c r="J344" s="8">
        <f t="shared" si="17"/>
        <v>0</v>
      </c>
      <c r="K344" s="8">
        <f>IFERROR(INDEX(T_OrdenesTrabajo[En_Filtro],MATCH(B344,T_OrdenesTrabajo[ID_OT],0)),0)</f>
        <v>1</v>
      </c>
    </row>
    <row r="345" spans="1:11" x14ac:dyDescent="0.25">
      <c r="A345" s="8" t="s">
        <v>1508</v>
      </c>
      <c r="B345" s="8" t="s">
        <v>803</v>
      </c>
      <c r="C345" s="8" t="s">
        <v>1164</v>
      </c>
      <c r="D345" s="8" t="s">
        <v>9</v>
      </c>
      <c r="E345" s="8">
        <v>1</v>
      </c>
      <c r="F345" s="10">
        <v>14670</v>
      </c>
      <c r="G345" s="10">
        <v>19660</v>
      </c>
      <c r="H345" s="10">
        <f t="shared" si="15"/>
        <v>14670</v>
      </c>
      <c r="I345" s="10">
        <f t="shared" si="16"/>
        <v>19660</v>
      </c>
      <c r="J345" s="8">
        <f t="shared" si="17"/>
        <v>0</v>
      </c>
      <c r="K345" s="8">
        <f>IFERROR(INDEX(T_OrdenesTrabajo[En_Filtro],MATCH(B345,T_OrdenesTrabajo[ID_OT],0)),0)</f>
        <v>1</v>
      </c>
    </row>
    <row r="346" spans="1:11" x14ac:dyDescent="0.25">
      <c r="A346" s="8" t="s">
        <v>1509</v>
      </c>
      <c r="B346" s="8" t="s">
        <v>803</v>
      </c>
      <c r="C346" s="8" t="s">
        <v>1164</v>
      </c>
      <c r="D346" s="8" t="s">
        <v>15</v>
      </c>
      <c r="E346" s="8">
        <v>1</v>
      </c>
      <c r="F346" s="10">
        <v>22640</v>
      </c>
      <c r="G346" s="10">
        <v>28500</v>
      </c>
      <c r="H346" s="10">
        <f t="shared" si="15"/>
        <v>22640</v>
      </c>
      <c r="I346" s="10">
        <f t="shared" si="16"/>
        <v>28500</v>
      </c>
      <c r="J346" s="8">
        <f t="shared" si="17"/>
        <v>0</v>
      </c>
      <c r="K346" s="8">
        <f>IFERROR(INDEX(T_OrdenesTrabajo[En_Filtro],MATCH(B346,T_OrdenesTrabajo[ID_OT],0)),0)</f>
        <v>1</v>
      </c>
    </row>
    <row r="347" spans="1:11" x14ac:dyDescent="0.25">
      <c r="A347" s="8" t="s">
        <v>1510</v>
      </c>
      <c r="B347" s="8" t="s">
        <v>803</v>
      </c>
      <c r="C347" s="8" t="s">
        <v>1167</v>
      </c>
      <c r="D347" s="8" t="s">
        <v>214</v>
      </c>
      <c r="E347" s="8">
        <v>4</v>
      </c>
      <c r="F347" s="10">
        <v>11400</v>
      </c>
      <c r="G347" s="10">
        <v>23500</v>
      </c>
      <c r="H347" s="10">
        <f t="shared" si="15"/>
        <v>45600</v>
      </c>
      <c r="I347" s="10">
        <f t="shared" si="16"/>
        <v>94000</v>
      </c>
      <c r="J347" s="8">
        <f t="shared" si="17"/>
        <v>0</v>
      </c>
      <c r="K347" s="8">
        <f>IFERROR(INDEX(T_OrdenesTrabajo[En_Filtro],MATCH(B347,T_OrdenesTrabajo[ID_OT],0)),0)</f>
        <v>1</v>
      </c>
    </row>
    <row r="348" spans="1:11" x14ac:dyDescent="0.25">
      <c r="A348" s="8" t="s">
        <v>1511</v>
      </c>
      <c r="B348" s="8" t="s">
        <v>807</v>
      </c>
      <c r="C348" s="8" t="s">
        <v>1164</v>
      </c>
      <c r="D348" s="8" t="s">
        <v>13</v>
      </c>
      <c r="E348" s="8">
        <v>2</v>
      </c>
      <c r="F348" s="10">
        <v>31090</v>
      </c>
      <c r="G348" s="10">
        <v>38740</v>
      </c>
      <c r="H348" s="10">
        <f t="shared" si="15"/>
        <v>62180</v>
      </c>
      <c r="I348" s="10">
        <f t="shared" si="16"/>
        <v>77480</v>
      </c>
      <c r="J348" s="8">
        <f t="shared" si="17"/>
        <v>0</v>
      </c>
      <c r="K348" s="8">
        <f>IFERROR(INDEX(T_OrdenesTrabajo[En_Filtro],MATCH(B348,T_OrdenesTrabajo[ID_OT],0)),0)</f>
        <v>1</v>
      </c>
    </row>
    <row r="349" spans="1:11" x14ac:dyDescent="0.25">
      <c r="A349" s="8" t="s">
        <v>1512</v>
      </c>
      <c r="B349" s="8" t="s">
        <v>807</v>
      </c>
      <c r="C349" s="8" t="s">
        <v>1167</v>
      </c>
      <c r="D349" s="8" t="s">
        <v>214</v>
      </c>
      <c r="E349" s="8">
        <v>4</v>
      </c>
      <c r="F349" s="10">
        <v>12400</v>
      </c>
      <c r="G349" s="10">
        <v>24600</v>
      </c>
      <c r="H349" s="10">
        <f t="shared" si="15"/>
        <v>49600</v>
      </c>
      <c r="I349" s="10">
        <f t="shared" si="16"/>
        <v>98400</v>
      </c>
      <c r="J349" s="8">
        <f t="shared" si="17"/>
        <v>0</v>
      </c>
      <c r="K349" s="8">
        <f>IFERROR(INDEX(T_OrdenesTrabajo[En_Filtro],MATCH(B349,T_OrdenesTrabajo[ID_OT],0)),0)</f>
        <v>1</v>
      </c>
    </row>
    <row r="350" spans="1:11" x14ac:dyDescent="0.25">
      <c r="A350" s="8" t="s">
        <v>1513</v>
      </c>
      <c r="B350" s="8" t="s">
        <v>807</v>
      </c>
      <c r="C350" s="8" t="s">
        <v>1167</v>
      </c>
      <c r="D350" s="8" t="s">
        <v>214</v>
      </c>
      <c r="E350" s="8">
        <v>5</v>
      </c>
      <c r="F350" s="10">
        <v>13300</v>
      </c>
      <c r="G350" s="10">
        <v>22700</v>
      </c>
      <c r="H350" s="10">
        <f t="shared" si="15"/>
        <v>66500</v>
      </c>
      <c r="I350" s="10">
        <f t="shared" si="16"/>
        <v>113500</v>
      </c>
      <c r="J350" s="8">
        <f t="shared" si="17"/>
        <v>0</v>
      </c>
      <c r="K350" s="8">
        <f>IFERROR(INDEX(T_OrdenesTrabajo[En_Filtro],MATCH(B350,T_OrdenesTrabajo[ID_OT],0)),0)</f>
        <v>1</v>
      </c>
    </row>
    <row r="351" spans="1:11" x14ac:dyDescent="0.25">
      <c r="A351" s="8" t="s">
        <v>1514</v>
      </c>
      <c r="B351" s="8" t="s">
        <v>812</v>
      </c>
      <c r="C351" s="8" t="s">
        <v>1164</v>
      </c>
      <c r="D351" s="8" t="s">
        <v>59</v>
      </c>
      <c r="E351" s="8">
        <v>3</v>
      </c>
      <c r="F351" s="10">
        <v>14480</v>
      </c>
      <c r="G351" s="10">
        <v>17350</v>
      </c>
      <c r="H351" s="10">
        <f t="shared" si="15"/>
        <v>43440</v>
      </c>
      <c r="I351" s="10">
        <f t="shared" si="16"/>
        <v>52050</v>
      </c>
      <c r="J351" s="8">
        <f t="shared" si="17"/>
        <v>0</v>
      </c>
      <c r="K351" s="8">
        <f>IFERROR(INDEX(T_OrdenesTrabajo[En_Filtro],MATCH(B351,T_OrdenesTrabajo[ID_OT],0)),0)</f>
        <v>1</v>
      </c>
    </row>
    <row r="352" spans="1:11" x14ac:dyDescent="0.25">
      <c r="A352" s="8" t="s">
        <v>1515</v>
      </c>
      <c r="B352" s="8" t="s">
        <v>812</v>
      </c>
      <c r="C352" s="8" t="s">
        <v>1164</v>
      </c>
      <c r="D352" s="8" t="s">
        <v>61</v>
      </c>
      <c r="E352" s="8">
        <v>3</v>
      </c>
      <c r="F352" s="10">
        <v>73450</v>
      </c>
      <c r="G352" s="10">
        <v>91310</v>
      </c>
      <c r="H352" s="10">
        <f t="shared" si="15"/>
        <v>220350</v>
      </c>
      <c r="I352" s="10">
        <f t="shared" si="16"/>
        <v>273930</v>
      </c>
      <c r="J352" s="8">
        <f t="shared" si="17"/>
        <v>0</v>
      </c>
      <c r="K352" s="8">
        <f>IFERROR(INDEX(T_OrdenesTrabajo[En_Filtro],MATCH(B352,T_OrdenesTrabajo[ID_OT],0)),0)</f>
        <v>1</v>
      </c>
    </row>
    <row r="353" spans="1:11" x14ac:dyDescent="0.25">
      <c r="A353" s="8" t="s">
        <v>1516</v>
      </c>
      <c r="B353" s="8" t="s">
        <v>812</v>
      </c>
      <c r="C353" s="8" t="s">
        <v>1167</v>
      </c>
      <c r="D353" s="8" t="s">
        <v>217</v>
      </c>
      <c r="E353" s="8">
        <v>2</v>
      </c>
      <c r="F353" s="10">
        <v>13600</v>
      </c>
      <c r="G353" s="10">
        <v>21500</v>
      </c>
      <c r="H353" s="10">
        <f t="shared" si="15"/>
        <v>27200</v>
      </c>
      <c r="I353" s="10">
        <f t="shared" si="16"/>
        <v>43000</v>
      </c>
      <c r="J353" s="8">
        <f t="shared" si="17"/>
        <v>0</v>
      </c>
      <c r="K353" s="8">
        <f>IFERROR(INDEX(T_OrdenesTrabajo[En_Filtro],MATCH(B353,T_OrdenesTrabajo[ID_OT],0)),0)</f>
        <v>1</v>
      </c>
    </row>
    <row r="354" spans="1:11" x14ac:dyDescent="0.25">
      <c r="A354" s="8" t="s">
        <v>1517</v>
      </c>
      <c r="B354" s="8" t="s">
        <v>816</v>
      </c>
      <c r="C354" s="8" t="s">
        <v>1164</v>
      </c>
      <c r="D354" s="8" t="s">
        <v>59</v>
      </c>
      <c r="E354" s="8">
        <v>1</v>
      </c>
      <c r="F354" s="10">
        <v>14800</v>
      </c>
      <c r="G354" s="10">
        <v>22100</v>
      </c>
      <c r="H354" s="10">
        <f t="shared" si="15"/>
        <v>14800</v>
      </c>
      <c r="I354" s="10">
        <f t="shared" si="16"/>
        <v>22100</v>
      </c>
      <c r="J354" s="8">
        <f t="shared" si="17"/>
        <v>0</v>
      </c>
      <c r="K354" s="8">
        <f>IFERROR(INDEX(T_OrdenesTrabajo[En_Filtro],MATCH(B354,T_OrdenesTrabajo[ID_OT],0)),0)</f>
        <v>1</v>
      </c>
    </row>
    <row r="355" spans="1:11" x14ac:dyDescent="0.25">
      <c r="A355" s="8" t="s">
        <v>1518</v>
      </c>
      <c r="B355" s="8" t="s">
        <v>816</v>
      </c>
      <c r="C355" s="8" t="s">
        <v>1164</v>
      </c>
      <c r="D355" s="8" t="s">
        <v>9</v>
      </c>
      <c r="E355" s="8">
        <v>3</v>
      </c>
      <c r="F355" s="10">
        <v>15090</v>
      </c>
      <c r="G355" s="10">
        <v>20630</v>
      </c>
      <c r="H355" s="10">
        <f t="shared" si="15"/>
        <v>45270</v>
      </c>
      <c r="I355" s="10">
        <f t="shared" si="16"/>
        <v>61890</v>
      </c>
      <c r="J355" s="8">
        <f t="shared" si="17"/>
        <v>0</v>
      </c>
      <c r="K355" s="8">
        <f>IFERROR(INDEX(T_OrdenesTrabajo[En_Filtro],MATCH(B355,T_OrdenesTrabajo[ID_OT],0)),0)</f>
        <v>1</v>
      </c>
    </row>
    <row r="356" spans="1:11" x14ac:dyDescent="0.25">
      <c r="A356" s="8" t="s">
        <v>1519</v>
      </c>
      <c r="B356" s="8" t="s">
        <v>816</v>
      </c>
      <c r="C356" s="8" t="s">
        <v>1167</v>
      </c>
      <c r="D356" s="8" t="s">
        <v>219</v>
      </c>
      <c r="E356" s="8">
        <v>6</v>
      </c>
      <c r="F356" s="10">
        <v>12000</v>
      </c>
      <c r="G356" s="10">
        <v>23800</v>
      </c>
      <c r="H356" s="10">
        <f t="shared" si="15"/>
        <v>72000</v>
      </c>
      <c r="I356" s="10">
        <f t="shared" si="16"/>
        <v>142800</v>
      </c>
      <c r="J356" s="8">
        <f t="shared" si="17"/>
        <v>0</v>
      </c>
      <c r="K356" s="8">
        <f>IFERROR(INDEX(T_OrdenesTrabajo[En_Filtro],MATCH(B356,T_OrdenesTrabajo[ID_OT],0)),0)</f>
        <v>1</v>
      </c>
    </row>
    <row r="357" spans="1:11" x14ac:dyDescent="0.25">
      <c r="A357" s="8" t="s">
        <v>1520</v>
      </c>
      <c r="B357" s="8" t="s">
        <v>816</v>
      </c>
      <c r="C357" s="8" t="s">
        <v>1167</v>
      </c>
      <c r="D357" s="8" t="s">
        <v>217</v>
      </c>
      <c r="E357" s="8">
        <v>14</v>
      </c>
      <c r="F357" s="10">
        <v>12700</v>
      </c>
      <c r="G357" s="10">
        <v>24600</v>
      </c>
      <c r="H357" s="10">
        <f t="shared" si="15"/>
        <v>177800</v>
      </c>
      <c r="I357" s="10">
        <f t="shared" si="16"/>
        <v>344400</v>
      </c>
      <c r="J357" s="8">
        <f t="shared" si="17"/>
        <v>0</v>
      </c>
      <c r="K357" s="8">
        <f>IFERROR(INDEX(T_OrdenesTrabajo[En_Filtro],MATCH(B357,T_OrdenesTrabajo[ID_OT],0)),0)</f>
        <v>1</v>
      </c>
    </row>
    <row r="358" spans="1:11" x14ac:dyDescent="0.25">
      <c r="A358" s="8" t="s">
        <v>1521</v>
      </c>
      <c r="B358" s="8" t="s">
        <v>821</v>
      </c>
      <c r="C358" s="8" t="s">
        <v>1164</v>
      </c>
      <c r="D358" s="8" t="s">
        <v>13</v>
      </c>
      <c r="E358" s="8">
        <v>3</v>
      </c>
      <c r="F358" s="10">
        <v>32030</v>
      </c>
      <c r="G358" s="10">
        <v>47890</v>
      </c>
      <c r="H358" s="10">
        <f t="shared" si="15"/>
        <v>96090</v>
      </c>
      <c r="I358" s="10">
        <f t="shared" si="16"/>
        <v>143670</v>
      </c>
      <c r="J358" s="8">
        <f t="shared" si="17"/>
        <v>0</v>
      </c>
      <c r="K358" s="8">
        <f>IFERROR(INDEX(T_OrdenesTrabajo[En_Filtro],MATCH(B358,T_OrdenesTrabajo[ID_OT],0)),0)</f>
        <v>1</v>
      </c>
    </row>
    <row r="359" spans="1:11" x14ac:dyDescent="0.25">
      <c r="A359" s="8" t="s">
        <v>1522</v>
      </c>
      <c r="B359" s="8" t="s">
        <v>821</v>
      </c>
      <c r="C359" s="8" t="s">
        <v>1167</v>
      </c>
      <c r="D359" s="8" t="s">
        <v>214</v>
      </c>
      <c r="E359" s="8">
        <v>4</v>
      </c>
      <c r="F359" s="10">
        <v>12900</v>
      </c>
      <c r="G359" s="10">
        <v>22900</v>
      </c>
      <c r="H359" s="10">
        <f t="shared" si="15"/>
        <v>51600</v>
      </c>
      <c r="I359" s="10">
        <f t="shared" si="16"/>
        <v>91600</v>
      </c>
      <c r="J359" s="8">
        <f t="shared" si="17"/>
        <v>0</v>
      </c>
      <c r="K359" s="8">
        <f>IFERROR(INDEX(T_OrdenesTrabajo[En_Filtro],MATCH(B359,T_OrdenesTrabajo[ID_OT],0)),0)</f>
        <v>1</v>
      </c>
    </row>
    <row r="360" spans="1:11" x14ac:dyDescent="0.25">
      <c r="A360" s="8" t="s">
        <v>1523</v>
      </c>
      <c r="B360" s="8" t="s">
        <v>821</v>
      </c>
      <c r="C360" s="8" t="s">
        <v>1167</v>
      </c>
      <c r="D360" s="8" t="s">
        <v>214</v>
      </c>
      <c r="E360" s="8">
        <v>5</v>
      </c>
      <c r="F360" s="10">
        <v>12000</v>
      </c>
      <c r="G360" s="10">
        <v>24200</v>
      </c>
      <c r="H360" s="10">
        <f t="shared" si="15"/>
        <v>60000</v>
      </c>
      <c r="I360" s="10">
        <f t="shared" si="16"/>
        <v>121000</v>
      </c>
      <c r="J360" s="8">
        <f t="shared" si="17"/>
        <v>0</v>
      </c>
      <c r="K360" s="8">
        <f>IFERROR(INDEX(T_OrdenesTrabajo[En_Filtro],MATCH(B360,T_OrdenesTrabajo[ID_OT],0)),0)</f>
        <v>1</v>
      </c>
    </row>
    <row r="361" spans="1:11" x14ac:dyDescent="0.25">
      <c r="A361" s="8" t="s">
        <v>1524</v>
      </c>
      <c r="B361" s="8" t="s">
        <v>826</v>
      </c>
      <c r="C361" s="8" t="s">
        <v>1164</v>
      </c>
      <c r="D361" s="8" t="s">
        <v>13</v>
      </c>
      <c r="E361" s="8">
        <v>3</v>
      </c>
      <c r="F361" s="10">
        <v>31660</v>
      </c>
      <c r="G361" s="10">
        <v>40900</v>
      </c>
      <c r="H361" s="10">
        <f t="shared" si="15"/>
        <v>94980</v>
      </c>
      <c r="I361" s="10">
        <f t="shared" si="16"/>
        <v>122700</v>
      </c>
      <c r="J361" s="8">
        <f t="shared" si="17"/>
        <v>0</v>
      </c>
      <c r="K361" s="8">
        <f>IFERROR(INDEX(T_OrdenesTrabajo[En_Filtro],MATCH(B361,T_OrdenesTrabajo[ID_OT],0)),0)</f>
        <v>1</v>
      </c>
    </row>
    <row r="362" spans="1:11" x14ac:dyDescent="0.25">
      <c r="A362" s="8" t="s">
        <v>1525</v>
      </c>
      <c r="B362" s="8" t="s">
        <v>826</v>
      </c>
      <c r="C362" s="8" t="s">
        <v>1164</v>
      </c>
      <c r="D362" s="8" t="s">
        <v>57</v>
      </c>
      <c r="E362" s="8">
        <v>1</v>
      </c>
      <c r="F362" s="10">
        <v>114660</v>
      </c>
      <c r="G362" s="10">
        <v>165070</v>
      </c>
      <c r="H362" s="10">
        <f t="shared" si="15"/>
        <v>114660</v>
      </c>
      <c r="I362" s="10">
        <f t="shared" si="16"/>
        <v>165070</v>
      </c>
      <c r="J362" s="8">
        <f t="shared" si="17"/>
        <v>0</v>
      </c>
      <c r="K362" s="8">
        <f>IFERROR(INDEX(T_OrdenesTrabajo[En_Filtro],MATCH(B362,T_OrdenesTrabajo[ID_OT],0)),0)</f>
        <v>1</v>
      </c>
    </row>
    <row r="363" spans="1:11" x14ac:dyDescent="0.25">
      <c r="A363" s="8" t="s">
        <v>1526</v>
      </c>
      <c r="B363" s="8" t="s">
        <v>826</v>
      </c>
      <c r="C363" s="8" t="s">
        <v>1167</v>
      </c>
      <c r="D363" s="8" t="s">
        <v>228</v>
      </c>
      <c r="E363" s="8">
        <v>6</v>
      </c>
      <c r="F363" s="10">
        <v>14700</v>
      </c>
      <c r="G363" s="10">
        <v>28500</v>
      </c>
      <c r="H363" s="10">
        <f t="shared" si="15"/>
        <v>88200</v>
      </c>
      <c r="I363" s="10">
        <f t="shared" si="16"/>
        <v>171000</v>
      </c>
      <c r="J363" s="8">
        <f t="shared" si="17"/>
        <v>0</v>
      </c>
      <c r="K363" s="8">
        <f>IFERROR(INDEX(T_OrdenesTrabajo[En_Filtro],MATCH(B363,T_OrdenesTrabajo[ID_OT],0)),0)</f>
        <v>1</v>
      </c>
    </row>
    <row r="364" spans="1:11" x14ac:dyDescent="0.25">
      <c r="A364" s="8" t="s">
        <v>1527</v>
      </c>
      <c r="B364" s="8" t="s">
        <v>831</v>
      </c>
      <c r="C364" s="8" t="s">
        <v>1164</v>
      </c>
      <c r="D364" s="8" t="s">
        <v>9</v>
      </c>
      <c r="E364" s="8">
        <v>1</v>
      </c>
      <c r="F364" s="10">
        <v>16020</v>
      </c>
      <c r="G364" s="10">
        <v>23220</v>
      </c>
      <c r="H364" s="10">
        <f t="shared" si="15"/>
        <v>16020</v>
      </c>
      <c r="I364" s="10">
        <f t="shared" si="16"/>
        <v>23220</v>
      </c>
      <c r="J364" s="8">
        <f t="shared" si="17"/>
        <v>0</v>
      </c>
      <c r="K364" s="8">
        <f>IFERROR(INDEX(T_OrdenesTrabajo[En_Filtro],MATCH(B364,T_OrdenesTrabajo[ID_OT],0)),0)</f>
        <v>1</v>
      </c>
    </row>
    <row r="365" spans="1:11" x14ac:dyDescent="0.25">
      <c r="A365" s="8" t="s">
        <v>1528</v>
      </c>
      <c r="B365" s="8" t="s">
        <v>831</v>
      </c>
      <c r="C365" s="8" t="s">
        <v>1164</v>
      </c>
      <c r="D365" s="8" t="s">
        <v>13</v>
      </c>
      <c r="E365" s="8">
        <v>3</v>
      </c>
      <c r="F365" s="10">
        <v>30350</v>
      </c>
      <c r="G365" s="10">
        <v>43630</v>
      </c>
      <c r="H365" s="10">
        <f t="shared" si="15"/>
        <v>91050</v>
      </c>
      <c r="I365" s="10">
        <f t="shared" si="16"/>
        <v>130890</v>
      </c>
      <c r="J365" s="8">
        <f t="shared" si="17"/>
        <v>0</v>
      </c>
      <c r="K365" s="8">
        <f>IFERROR(INDEX(T_OrdenesTrabajo[En_Filtro],MATCH(B365,T_OrdenesTrabajo[ID_OT],0)),0)</f>
        <v>1</v>
      </c>
    </row>
    <row r="366" spans="1:11" x14ac:dyDescent="0.25">
      <c r="A366" s="8" t="s">
        <v>1529</v>
      </c>
      <c r="B366" s="8" t="s">
        <v>831</v>
      </c>
      <c r="C366" s="8" t="s">
        <v>1167</v>
      </c>
      <c r="D366" s="8" t="s">
        <v>231</v>
      </c>
      <c r="E366" s="8">
        <v>2</v>
      </c>
      <c r="F366" s="10">
        <v>14100</v>
      </c>
      <c r="G366" s="10">
        <v>28200</v>
      </c>
      <c r="H366" s="10">
        <f t="shared" si="15"/>
        <v>28200</v>
      </c>
      <c r="I366" s="10">
        <f t="shared" si="16"/>
        <v>56400</v>
      </c>
      <c r="J366" s="8">
        <f t="shared" si="17"/>
        <v>0</v>
      </c>
      <c r="K366" s="8">
        <f>IFERROR(INDEX(T_OrdenesTrabajo[En_Filtro],MATCH(B366,T_OrdenesTrabajo[ID_OT],0)),0)</f>
        <v>1</v>
      </c>
    </row>
    <row r="367" spans="1:11" x14ac:dyDescent="0.25">
      <c r="A367" s="8" t="s">
        <v>1530</v>
      </c>
      <c r="B367" s="8" t="s">
        <v>831</v>
      </c>
      <c r="C367" s="8" t="s">
        <v>1167</v>
      </c>
      <c r="D367" s="8" t="s">
        <v>217</v>
      </c>
      <c r="E367" s="8">
        <v>4</v>
      </c>
      <c r="F367" s="10">
        <v>11200</v>
      </c>
      <c r="G367" s="10">
        <v>23100</v>
      </c>
      <c r="H367" s="10">
        <f t="shared" si="15"/>
        <v>44800</v>
      </c>
      <c r="I367" s="10">
        <f t="shared" si="16"/>
        <v>92400</v>
      </c>
      <c r="J367" s="8">
        <f t="shared" si="17"/>
        <v>0</v>
      </c>
      <c r="K367" s="8">
        <f>IFERROR(INDEX(T_OrdenesTrabajo[En_Filtro],MATCH(B367,T_OrdenesTrabajo[ID_OT],0)),0)</f>
        <v>1</v>
      </c>
    </row>
    <row r="368" spans="1:11" x14ac:dyDescent="0.25">
      <c r="A368" s="8" t="s">
        <v>1531</v>
      </c>
      <c r="B368" s="8" t="s">
        <v>836</v>
      </c>
      <c r="C368" s="8" t="s">
        <v>1164</v>
      </c>
      <c r="D368" s="8" t="s">
        <v>63</v>
      </c>
      <c r="E368" s="8">
        <v>4</v>
      </c>
      <c r="F368" s="10">
        <v>64800</v>
      </c>
      <c r="G368" s="10">
        <v>72010</v>
      </c>
      <c r="H368" s="10">
        <f t="shared" si="15"/>
        <v>259200</v>
      </c>
      <c r="I368" s="10">
        <f t="shared" si="16"/>
        <v>288040</v>
      </c>
      <c r="J368" s="8">
        <f t="shared" si="17"/>
        <v>0</v>
      </c>
      <c r="K368" s="8">
        <f>IFERROR(INDEX(T_OrdenesTrabajo[En_Filtro],MATCH(B368,T_OrdenesTrabajo[ID_OT],0)),0)</f>
        <v>1</v>
      </c>
    </row>
    <row r="369" spans="1:11" x14ac:dyDescent="0.25">
      <c r="A369" s="8" t="s">
        <v>1532</v>
      </c>
      <c r="B369" s="8" t="s">
        <v>836</v>
      </c>
      <c r="C369" s="8" t="s">
        <v>1167</v>
      </c>
      <c r="D369" s="8" t="s">
        <v>217</v>
      </c>
      <c r="E369" s="8">
        <v>6</v>
      </c>
      <c r="F369" s="10">
        <v>11700</v>
      </c>
      <c r="G369" s="10">
        <v>17400</v>
      </c>
      <c r="H369" s="10">
        <f t="shared" si="15"/>
        <v>70200</v>
      </c>
      <c r="I369" s="10">
        <f t="shared" si="16"/>
        <v>104400</v>
      </c>
      <c r="J369" s="8">
        <f t="shared" si="17"/>
        <v>0</v>
      </c>
      <c r="K369" s="8">
        <f>IFERROR(INDEX(T_OrdenesTrabajo[En_Filtro],MATCH(B369,T_OrdenesTrabajo[ID_OT],0)),0)</f>
        <v>1</v>
      </c>
    </row>
    <row r="370" spans="1:11" x14ac:dyDescent="0.25">
      <c r="A370" s="8" t="s">
        <v>1533</v>
      </c>
      <c r="B370" s="8" t="s">
        <v>841</v>
      </c>
      <c r="C370" s="8" t="s">
        <v>1164</v>
      </c>
      <c r="D370" s="8" t="s">
        <v>15</v>
      </c>
      <c r="E370" s="8">
        <v>1</v>
      </c>
      <c r="F370" s="10">
        <v>22460</v>
      </c>
      <c r="G370" s="10"/>
      <c r="H370" s="10">
        <f t="shared" si="15"/>
        <v>22460</v>
      </c>
      <c r="I370" s="10" t="str">
        <f t="shared" si="16"/>
        <v/>
      </c>
      <c r="J370" s="8">
        <f t="shared" si="17"/>
        <v>1</v>
      </c>
      <c r="K370" s="8">
        <f>IFERROR(INDEX(T_OrdenesTrabajo[En_Filtro],MATCH(B370,T_OrdenesTrabajo[ID_OT],0)),0)</f>
        <v>1</v>
      </c>
    </row>
    <row r="371" spans="1:11" x14ac:dyDescent="0.25">
      <c r="A371" s="8" t="s">
        <v>1534</v>
      </c>
      <c r="B371" s="8" t="s">
        <v>841</v>
      </c>
      <c r="C371" s="8" t="s">
        <v>1164</v>
      </c>
      <c r="D371" s="8" t="s">
        <v>20</v>
      </c>
      <c r="E371" s="8">
        <v>12</v>
      </c>
      <c r="F371" s="10">
        <v>6700</v>
      </c>
      <c r="G371" s="10">
        <v>9640</v>
      </c>
      <c r="H371" s="10">
        <f t="shared" si="15"/>
        <v>80400</v>
      </c>
      <c r="I371" s="10">
        <f t="shared" si="16"/>
        <v>115680</v>
      </c>
      <c r="J371" s="8">
        <f t="shared" si="17"/>
        <v>0</v>
      </c>
      <c r="K371" s="8">
        <f>IFERROR(INDEX(T_OrdenesTrabajo[En_Filtro],MATCH(B371,T_OrdenesTrabajo[ID_OT],0)),0)</f>
        <v>1</v>
      </c>
    </row>
    <row r="372" spans="1:11" x14ac:dyDescent="0.25">
      <c r="A372" s="8" t="s">
        <v>1535</v>
      </c>
      <c r="B372" s="8" t="s">
        <v>841</v>
      </c>
      <c r="C372" s="8" t="s">
        <v>1164</v>
      </c>
      <c r="D372" s="8" t="s">
        <v>13</v>
      </c>
      <c r="E372" s="8">
        <v>1</v>
      </c>
      <c r="F372" s="10">
        <v>30340</v>
      </c>
      <c r="G372" s="10">
        <v>37830</v>
      </c>
      <c r="H372" s="10">
        <f t="shared" si="15"/>
        <v>30340</v>
      </c>
      <c r="I372" s="10">
        <f t="shared" si="16"/>
        <v>37830</v>
      </c>
      <c r="J372" s="8">
        <f t="shared" si="17"/>
        <v>0</v>
      </c>
      <c r="K372" s="8">
        <f>IFERROR(INDEX(T_OrdenesTrabajo[En_Filtro],MATCH(B372,T_OrdenesTrabajo[ID_OT],0)),0)</f>
        <v>1</v>
      </c>
    </row>
    <row r="373" spans="1:11" x14ac:dyDescent="0.25">
      <c r="A373" s="8" t="s">
        <v>1536</v>
      </c>
      <c r="B373" s="8" t="s">
        <v>841</v>
      </c>
      <c r="C373" s="8" t="s">
        <v>1167</v>
      </c>
      <c r="D373" s="8" t="s">
        <v>217</v>
      </c>
      <c r="E373" s="8">
        <v>2</v>
      </c>
      <c r="F373" s="10">
        <v>11800</v>
      </c>
      <c r="G373" s="10">
        <v>22100</v>
      </c>
      <c r="H373" s="10">
        <f t="shared" si="15"/>
        <v>23600</v>
      </c>
      <c r="I373" s="10">
        <f t="shared" si="16"/>
        <v>44200</v>
      </c>
      <c r="J373" s="8">
        <f t="shared" si="17"/>
        <v>0</v>
      </c>
      <c r="K373" s="8">
        <f>IFERROR(INDEX(T_OrdenesTrabajo[En_Filtro],MATCH(B373,T_OrdenesTrabajo[ID_OT],0)),0)</f>
        <v>1</v>
      </c>
    </row>
    <row r="374" spans="1:11" x14ac:dyDescent="0.25">
      <c r="A374" s="8" t="s">
        <v>1537</v>
      </c>
      <c r="B374" s="8" t="s">
        <v>845</v>
      </c>
      <c r="C374" s="8" t="s">
        <v>1164</v>
      </c>
      <c r="D374" s="8" t="s">
        <v>54</v>
      </c>
      <c r="E374" s="8">
        <v>2</v>
      </c>
      <c r="F374" s="10">
        <v>89230</v>
      </c>
      <c r="G374" s="10">
        <v>128580</v>
      </c>
      <c r="H374" s="10">
        <f t="shared" si="15"/>
        <v>178460</v>
      </c>
      <c r="I374" s="10">
        <f t="shared" si="16"/>
        <v>257160</v>
      </c>
      <c r="J374" s="8">
        <f t="shared" si="17"/>
        <v>0</v>
      </c>
      <c r="K374" s="8">
        <f>IFERROR(INDEX(T_OrdenesTrabajo[En_Filtro],MATCH(B374,T_OrdenesTrabajo[ID_OT],0)),0)</f>
        <v>1</v>
      </c>
    </row>
    <row r="375" spans="1:11" x14ac:dyDescent="0.25">
      <c r="A375" s="8" t="s">
        <v>1538</v>
      </c>
      <c r="B375" s="8" t="s">
        <v>845</v>
      </c>
      <c r="C375" s="8" t="s">
        <v>1164</v>
      </c>
      <c r="D375" s="8" t="s">
        <v>61</v>
      </c>
      <c r="E375" s="8">
        <v>2</v>
      </c>
      <c r="F375" s="10">
        <v>81560</v>
      </c>
      <c r="G375" s="10">
        <v>107240</v>
      </c>
      <c r="H375" s="10">
        <f t="shared" si="15"/>
        <v>163120</v>
      </c>
      <c r="I375" s="10">
        <f t="shared" si="16"/>
        <v>214480</v>
      </c>
      <c r="J375" s="8">
        <f t="shared" si="17"/>
        <v>0</v>
      </c>
      <c r="K375" s="8">
        <f>IFERROR(INDEX(T_OrdenesTrabajo[En_Filtro],MATCH(B375,T_OrdenesTrabajo[ID_OT],0)),0)</f>
        <v>1</v>
      </c>
    </row>
    <row r="376" spans="1:11" x14ac:dyDescent="0.25">
      <c r="A376" s="8" t="s">
        <v>1539</v>
      </c>
      <c r="B376" s="8" t="s">
        <v>845</v>
      </c>
      <c r="C376" s="8" t="s">
        <v>1167</v>
      </c>
      <c r="D376" s="8" t="s">
        <v>217</v>
      </c>
      <c r="E376" s="8">
        <v>11</v>
      </c>
      <c r="F376" s="10">
        <v>11100</v>
      </c>
      <c r="G376" s="10">
        <v>22900</v>
      </c>
      <c r="H376" s="10">
        <f t="shared" si="15"/>
        <v>122100</v>
      </c>
      <c r="I376" s="10">
        <f t="shared" si="16"/>
        <v>251900</v>
      </c>
      <c r="J376" s="8">
        <f t="shared" si="17"/>
        <v>0</v>
      </c>
      <c r="K376" s="8">
        <f>IFERROR(INDEX(T_OrdenesTrabajo[En_Filtro],MATCH(B376,T_OrdenesTrabajo[ID_OT],0)),0)</f>
        <v>1</v>
      </c>
    </row>
    <row r="377" spans="1:11" x14ac:dyDescent="0.25">
      <c r="A377" s="8" t="s">
        <v>1540</v>
      </c>
      <c r="B377" s="8" t="s">
        <v>849</v>
      </c>
      <c r="C377" s="8" t="s">
        <v>1164</v>
      </c>
      <c r="D377" s="8" t="s">
        <v>57</v>
      </c>
      <c r="E377" s="8">
        <v>1</v>
      </c>
      <c r="F377" s="10">
        <v>120950</v>
      </c>
      <c r="G377" s="10">
        <v>158700</v>
      </c>
      <c r="H377" s="10">
        <f t="shared" si="15"/>
        <v>120950</v>
      </c>
      <c r="I377" s="10">
        <f t="shared" si="16"/>
        <v>158700</v>
      </c>
      <c r="J377" s="8">
        <f t="shared" si="17"/>
        <v>0</v>
      </c>
      <c r="K377" s="8">
        <f>IFERROR(INDEX(T_OrdenesTrabajo[En_Filtro],MATCH(B377,T_OrdenesTrabajo[ID_OT],0)),0)</f>
        <v>1</v>
      </c>
    </row>
    <row r="378" spans="1:11" x14ac:dyDescent="0.25">
      <c r="A378" s="8" t="s">
        <v>1541</v>
      </c>
      <c r="B378" s="8" t="s">
        <v>849</v>
      </c>
      <c r="C378" s="8" t="s">
        <v>1167</v>
      </c>
      <c r="D378" s="8" t="s">
        <v>219</v>
      </c>
      <c r="E378" s="8">
        <v>6</v>
      </c>
      <c r="F378" s="10">
        <v>12900</v>
      </c>
      <c r="G378" s="10">
        <v>22500</v>
      </c>
      <c r="H378" s="10">
        <f t="shared" si="15"/>
        <v>77400</v>
      </c>
      <c r="I378" s="10">
        <f t="shared" si="16"/>
        <v>135000</v>
      </c>
      <c r="J378" s="8">
        <f t="shared" si="17"/>
        <v>0</v>
      </c>
      <c r="K378" s="8">
        <f>IFERROR(INDEX(T_OrdenesTrabajo[En_Filtro],MATCH(B378,T_OrdenesTrabajo[ID_OT],0)),0)</f>
        <v>1</v>
      </c>
    </row>
    <row r="379" spans="1:11" x14ac:dyDescent="0.25">
      <c r="A379" s="8" t="s">
        <v>1542</v>
      </c>
      <c r="B379" s="8" t="s">
        <v>854</v>
      </c>
      <c r="C379" s="8" t="s">
        <v>1164</v>
      </c>
      <c r="D379" s="8" t="s">
        <v>22</v>
      </c>
      <c r="E379" s="8">
        <v>16</v>
      </c>
      <c r="F379" s="10">
        <v>4160</v>
      </c>
      <c r="G379" s="10">
        <v>4920</v>
      </c>
      <c r="H379" s="10">
        <f t="shared" si="15"/>
        <v>66560</v>
      </c>
      <c r="I379" s="10">
        <f t="shared" si="16"/>
        <v>78720</v>
      </c>
      <c r="J379" s="8">
        <f t="shared" si="17"/>
        <v>0</v>
      </c>
      <c r="K379" s="8">
        <f>IFERROR(INDEX(T_OrdenesTrabajo[En_Filtro],MATCH(B379,T_OrdenesTrabajo[ID_OT],0)),0)</f>
        <v>1</v>
      </c>
    </row>
    <row r="380" spans="1:11" x14ac:dyDescent="0.25">
      <c r="A380" s="8" t="s">
        <v>1543</v>
      </c>
      <c r="B380" s="8" t="s">
        <v>854</v>
      </c>
      <c r="C380" s="8" t="s">
        <v>1164</v>
      </c>
      <c r="D380" s="8" t="s">
        <v>9</v>
      </c>
      <c r="E380" s="8">
        <v>2</v>
      </c>
      <c r="F380" s="10">
        <v>15430</v>
      </c>
      <c r="G380" s="10">
        <v>19720</v>
      </c>
      <c r="H380" s="10">
        <f t="shared" si="15"/>
        <v>30860</v>
      </c>
      <c r="I380" s="10">
        <f t="shared" si="16"/>
        <v>39440</v>
      </c>
      <c r="J380" s="8">
        <f t="shared" si="17"/>
        <v>0</v>
      </c>
      <c r="K380" s="8">
        <f>IFERROR(INDEX(T_OrdenesTrabajo[En_Filtro],MATCH(B380,T_OrdenesTrabajo[ID_OT],0)),0)</f>
        <v>1</v>
      </c>
    </row>
    <row r="381" spans="1:11" x14ac:dyDescent="0.25">
      <c r="A381" s="8" t="s">
        <v>1544</v>
      </c>
      <c r="B381" s="8" t="s">
        <v>854</v>
      </c>
      <c r="C381" s="8" t="s">
        <v>1164</v>
      </c>
      <c r="D381" s="8" t="s">
        <v>61</v>
      </c>
      <c r="E381" s="8">
        <v>2</v>
      </c>
      <c r="F381" s="10">
        <v>78840</v>
      </c>
      <c r="G381" s="10">
        <v>116060</v>
      </c>
      <c r="H381" s="10">
        <f t="shared" si="15"/>
        <v>157680</v>
      </c>
      <c r="I381" s="10">
        <f t="shared" si="16"/>
        <v>232120</v>
      </c>
      <c r="J381" s="8">
        <f t="shared" si="17"/>
        <v>0</v>
      </c>
      <c r="K381" s="8">
        <f>IFERROR(INDEX(T_OrdenesTrabajo[En_Filtro],MATCH(B381,T_OrdenesTrabajo[ID_OT],0)),0)</f>
        <v>1</v>
      </c>
    </row>
    <row r="382" spans="1:11" x14ac:dyDescent="0.25">
      <c r="A382" s="8" t="s">
        <v>1545</v>
      </c>
      <c r="B382" s="8" t="s">
        <v>854</v>
      </c>
      <c r="C382" s="8" t="s">
        <v>1167</v>
      </c>
      <c r="D382" s="8" t="s">
        <v>219</v>
      </c>
      <c r="E382" s="8">
        <v>14</v>
      </c>
      <c r="F382" s="10">
        <v>12100</v>
      </c>
      <c r="G382" s="10">
        <v>24500</v>
      </c>
      <c r="H382" s="10">
        <f t="shared" si="15"/>
        <v>169400</v>
      </c>
      <c r="I382" s="10">
        <f t="shared" si="16"/>
        <v>343000</v>
      </c>
      <c r="J382" s="8">
        <f t="shared" si="17"/>
        <v>0</v>
      </c>
      <c r="K382" s="8">
        <f>IFERROR(INDEX(T_OrdenesTrabajo[En_Filtro],MATCH(B382,T_OrdenesTrabajo[ID_OT],0)),0)</f>
        <v>1</v>
      </c>
    </row>
    <row r="383" spans="1:11" x14ac:dyDescent="0.25">
      <c r="A383" s="8" t="s">
        <v>1546</v>
      </c>
      <c r="B383" s="8" t="s">
        <v>859</v>
      </c>
      <c r="C383" s="8" t="s">
        <v>1164</v>
      </c>
      <c r="D383" s="8" t="s">
        <v>15</v>
      </c>
      <c r="E383" s="8">
        <v>1</v>
      </c>
      <c r="F383" s="10">
        <v>23550</v>
      </c>
      <c r="G383" s="10">
        <v>29600</v>
      </c>
      <c r="H383" s="10">
        <f t="shared" si="15"/>
        <v>23550</v>
      </c>
      <c r="I383" s="10">
        <f t="shared" si="16"/>
        <v>29600</v>
      </c>
      <c r="J383" s="8">
        <f t="shared" si="17"/>
        <v>0</v>
      </c>
      <c r="K383" s="8">
        <f>IFERROR(INDEX(T_OrdenesTrabajo[En_Filtro],MATCH(B383,T_OrdenesTrabajo[ID_OT],0)),0)</f>
        <v>1</v>
      </c>
    </row>
    <row r="384" spans="1:11" x14ac:dyDescent="0.25">
      <c r="A384" s="8" t="s">
        <v>1547</v>
      </c>
      <c r="B384" s="8" t="s">
        <v>859</v>
      </c>
      <c r="C384" s="8" t="s">
        <v>1164</v>
      </c>
      <c r="D384" s="8" t="s">
        <v>9</v>
      </c>
      <c r="E384" s="8">
        <v>2</v>
      </c>
      <c r="F384" s="10">
        <v>15220</v>
      </c>
      <c r="G384" s="10">
        <v>20610</v>
      </c>
      <c r="H384" s="10">
        <f t="shared" si="15"/>
        <v>30440</v>
      </c>
      <c r="I384" s="10">
        <f t="shared" si="16"/>
        <v>41220</v>
      </c>
      <c r="J384" s="8">
        <f t="shared" si="17"/>
        <v>0</v>
      </c>
      <c r="K384" s="8">
        <f>IFERROR(INDEX(T_OrdenesTrabajo[En_Filtro],MATCH(B384,T_OrdenesTrabajo[ID_OT],0)),0)</f>
        <v>1</v>
      </c>
    </row>
    <row r="385" spans="1:11" x14ac:dyDescent="0.25">
      <c r="A385" s="8" t="s">
        <v>1548</v>
      </c>
      <c r="B385" s="8" t="s">
        <v>859</v>
      </c>
      <c r="C385" s="8" t="s">
        <v>1164</v>
      </c>
      <c r="D385" s="8" t="s">
        <v>31</v>
      </c>
      <c r="E385" s="8">
        <v>2</v>
      </c>
      <c r="F385" s="10">
        <v>33100</v>
      </c>
      <c r="G385" s="10">
        <v>40530</v>
      </c>
      <c r="H385" s="10">
        <f t="shared" si="15"/>
        <v>66200</v>
      </c>
      <c r="I385" s="10">
        <f t="shared" si="16"/>
        <v>81060</v>
      </c>
      <c r="J385" s="8">
        <f t="shared" si="17"/>
        <v>0</v>
      </c>
      <c r="K385" s="8">
        <f>IFERROR(INDEX(T_OrdenesTrabajo[En_Filtro],MATCH(B385,T_OrdenesTrabajo[ID_OT],0)),0)</f>
        <v>1</v>
      </c>
    </row>
    <row r="386" spans="1:11" x14ac:dyDescent="0.25">
      <c r="A386" s="8" t="s">
        <v>1549</v>
      </c>
      <c r="B386" s="8" t="s">
        <v>859</v>
      </c>
      <c r="C386" s="8" t="s">
        <v>1167</v>
      </c>
      <c r="D386" s="8" t="s">
        <v>217</v>
      </c>
      <c r="E386" s="8">
        <v>14</v>
      </c>
      <c r="F386" s="10">
        <v>11500</v>
      </c>
      <c r="G386" s="10">
        <v>24000</v>
      </c>
      <c r="H386" s="10">
        <f t="shared" ref="H386:H449" si="18">IF(OR(ISBLANK(F386),NOT(ISNUMBER(F386))),"",E386*F386)</f>
        <v>161000</v>
      </c>
      <c r="I386" s="10">
        <f t="shared" ref="I386:I449" si="19">IF(OR(ISBLANK(G386),NOT(ISNUMBER(G386))),"",E386*G386)</f>
        <v>336000</v>
      </c>
      <c r="J386" s="8">
        <f t="shared" ref="J386:J449" si="20">IF(AND(ISNUMBER(F386),ISNUMBER(G386)),0,1)</f>
        <v>0</v>
      </c>
      <c r="K386" s="8">
        <f>IFERROR(INDEX(T_OrdenesTrabajo[En_Filtro],MATCH(B386,T_OrdenesTrabajo[ID_OT],0)),0)</f>
        <v>1</v>
      </c>
    </row>
    <row r="387" spans="1:11" x14ac:dyDescent="0.25">
      <c r="A387" s="8" t="s">
        <v>1550</v>
      </c>
      <c r="B387" s="8" t="s">
        <v>864</v>
      </c>
      <c r="C387" s="8" t="s">
        <v>1164</v>
      </c>
      <c r="D387" s="8" t="s">
        <v>22</v>
      </c>
      <c r="E387" s="8">
        <v>20</v>
      </c>
      <c r="F387" s="10">
        <v>4200</v>
      </c>
      <c r="G387" s="10">
        <v>5930</v>
      </c>
      <c r="H387" s="10">
        <f t="shared" si="18"/>
        <v>84000</v>
      </c>
      <c r="I387" s="10">
        <f t="shared" si="19"/>
        <v>118600</v>
      </c>
      <c r="J387" s="8">
        <f t="shared" si="20"/>
        <v>0</v>
      </c>
      <c r="K387" s="8">
        <f>IFERROR(INDEX(T_OrdenesTrabajo[En_Filtro],MATCH(B387,T_OrdenesTrabajo[ID_OT],0)),0)</f>
        <v>1</v>
      </c>
    </row>
    <row r="388" spans="1:11" x14ac:dyDescent="0.25">
      <c r="A388" s="8" t="s">
        <v>1551</v>
      </c>
      <c r="B388" s="8" t="s">
        <v>864</v>
      </c>
      <c r="C388" s="8" t="s">
        <v>1164</v>
      </c>
      <c r="D388" s="8" t="s">
        <v>15</v>
      </c>
      <c r="E388" s="8">
        <v>1</v>
      </c>
      <c r="F388" s="10">
        <v>21640</v>
      </c>
      <c r="G388" s="10">
        <v>29970</v>
      </c>
      <c r="H388" s="10">
        <f t="shared" si="18"/>
        <v>21640</v>
      </c>
      <c r="I388" s="10">
        <f t="shared" si="19"/>
        <v>29970</v>
      </c>
      <c r="J388" s="8">
        <f t="shared" si="20"/>
        <v>0</v>
      </c>
      <c r="K388" s="8">
        <f>IFERROR(INDEX(T_OrdenesTrabajo[En_Filtro],MATCH(B388,T_OrdenesTrabajo[ID_OT],0)),0)</f>
        <v>1</v>
      </c>
    </row>
    <row r="389" spans="1:11" x14ac:dyDescent="0.25">
      <c r="A389" s="8" t="s">
        <v>1552</v>
      </c>
      <c r="B389" s="8" t="s">
        <v>864</v>
      </c>
      <c r="C389" s="8" t="s">
        <v>1167</v>
      </c>
      <c r="D389" s="8" t="s">
        <v>231</v>
      </c>
      <c r="E389" s="8">
        <v>3</v>
      </c>
      <c r="F389" s="10">
        <v>15500</v>
      </c>
      <c r="G389" s="10">
        <v>30500</v>
      </c>
      <c r="H389" s="10">
        <f t="shared" si="18"/>
        <v>46500</v>
      </c>
      <c r="I389" s="10">
        <f t="shared" si="19"/>
        <v>91500</v>
      </c>
      <c r="J389" s="8">
        <f t="shared" si="20"/>
        <v>0</v>
      </c>
      <c r="K389" s="8">
        <f>IFERROR(INDEX(T_OrdenesTrabajo[En_Filtro],MATCH(B389,T_OrdenesTrabajo[ID_OT],0)),0)</f>
        <v>1</v>
      </c>
    </row>
    <row r="390" spans="1:11" x14ac:dyDescent="0.25">
      <c r="A390" s="8" t="s">
        <v>1553</v>
      </c>
      <c r="B390" s="8" t="s">
        <v>864</v>
      </c>
      <c r="C390" s="8" t="s">
        <v>1167</v>
      </c>
      <c r="D390" s="8" t="s">
        <v>217</v>
      </c>
      <c r="E390" s="8">
        <v>5</v>
      </c>
      <c r="F390" s="10">
        <v>12500</v>
      </c>
      <c r="G390" s="10">
        <v>21600</v>
      </c>
      <c r="H390" s="10">
        <f t="shared" si="18"/>
        <v>62500</v>
      </c>
      <c r="I390" s="10">
        <f t="shared" si="19"/>
        <v>108000</v>
      </c>
      <c r="J390" s="8">
        <f t="shared" si="20"/>
        <v>0</v>
      </c>
      <c r="K390" s="8">
        <f>IFERROR(INDEX(T_OrdenesTrabajo[En_Filtro],MATCH(B390,T_OrdenesTrabajo[ID_OT],0)),0)</f>
        <v>1</v>
      </c>
    </row>
    <row r="391" spans="1:11" x14ac:dyDescent="0.25">
      <c r="A391" s="8" t="s">
        <v>1554</v>
      </c>
      <c r="B391" s="8" t="s">
        <v>869</v>
      </c>
      <c r="C391" s="8" t="s">
        <v>1164</v>
      </c>
      <c r="D391" s="8" t="s">
        <v>15</v>
      </c>
      <c r="E391" s="8">
        <v>1</v>
      </c>
      <c r="F391" s="10">
        <v>21140</v>
      </c>
      <c r="G391" s="10">
        <v>25000</v>
      </c>
      <c r="H391" s="10">
        <f t="shared" si="18"/>
        <v>21140</v>
      </c>
      <c r="I391" s="10">
        <f t="shared" si="19"/>
        <v>25000</v>
      </c>
      <c r="J391" s="8">
        <f t="shared" si="20"/>
        <v>0</v>
      </c>
      <c r="K391" s="8">
        <f>IFERROR(INDEX(T_OrdenesTrabajo[En_Filtro],MATCH(B391,T_OrdenesTrabajo[ID_OT],0)),0)</f>
        <v>1</v>
      </c>
    </row>
    <row r="392" spans="1:11" x14ac:dyDescent="0.25">
      <c r="A392" s="8" t="s">
        <v>1555</v>
      </c>
      <c r="B392" s="8" t="s">
        <v>869</v>
      </c>
      <c r="C392" s="8" t="s">
        <v>1164</v>
      </c>
      <c r="D392" s="8" t="s">
        <v>20</v>
      </c>
      <c r="E392" s="8">
        <v>14</v>
      </c>
      <c r="F392" s="10">
        <v>6010</v>
      </c>
      <c r="G392" s="10">
        <v>7550</v>
      </c>
      <c r="H392" s="10">
        <f t="shared" si="18"/>
        <v>84140</v>
      </c>
      <c r="I392" s="10">
        <f t="shared" si="19"/>
        <v>105700</v>
      </c>
      <c r="J392" s="8">
        <f t="shared" si="20"/>
        <v>0</v>
      </c>
      <c r="K392" s="8">
        <f>IFERROR(INDEX(T_OrdenesTrabajo[En_Filtro],MATCH(B392,T_OrdenesTrabajo[ID_OT],0)),0)</f>
        <v>1</v>
      </c>
    </row>
    <row r="393" spans="1:11" x14ac:dyDescent="0.25">
      <c r="A393" s="8" t="s">
        <v>1556</v>
      </c>
      <c r="B393" s="8" t="s">
        <v>869</v>
      </c>
      <c r="C393" s="8" t="s">
        <v>1167</v>
      </c>
      <c r="D393" s="8" t="s">
        <v>217</v>
      </c>
      <c r="E393" s="8">
        <v>5</v>
      </c>
      <c r="F393" s="10">
        <v>12900</v>
      </c>
      <c r="G393" s="10">
        <v>25000</v>
      </c>
      <c r="H393" s="10">
        <f t="shared" si="18"/>
        <v>64500</v>
      </c>
      <c r="I393" s="10">
        <f t="shared" si="19"/>
        <v>125000</v>
      </c>
      <c r="J393" s="8">
        <f t="shared" si="20"/>
        <v>0</v>
      </c>
      <c r="K393" s="8">
        <f>IFERROR(INDEX(T_OrdenesTrabajo[En_Filtro],MATCH(B393,T_OrdenesTrabajo[ID_OT],0)),0)</f>
        <v>1</v>
      </c>
    </row>
    <row r="394" spans="1:11" x14ac:dyDescent="0.25">
      <c r="A394" s="8" t="s">
        <v>1557</v>
      </c>
      <c r="B394" s="8" t="s">
        <v>874</v>
      </c>
      <c r="C394" s="8" t="s">
        <v>1164</v>
      </c>
      <c r="D394" s="8" t="s">
        <v>22</v>
      </c>
      <c r="E394" s="8">
        <v>15</v>
      </c>
      <c r="F394" s="10">
        <v>4620</v>
      </c>
      <c r="G394" s="10">
        <v>6530</v>
      </c>
      <c r="H394" s="10">
        <f t="shared" si="18"/>
        <v>69300</v>
      </c>
      <c r="I394" s="10">
        <f t="shared" si="19"/>
        <v>97950</v>
      </c>
      <c r="J394" s="8">
        <f t="shared" si="20"/>
        <v>0</v>
      </c>
      <c r="K394" s="8">
        <f>IFERROR(INDEX(T_OrdenesTrabajo[En_Filtro],MATCH(B394,T_OrdenesTrabajo[ID_OT],0)),0)</f>
        <v>1</v>
      </c>
    </row>
    <row r="395" spans="1:11" x14ac:dyDescent="0.25">
      <c r="A395" s="8" t="s">
        <v>1558</v>
      </c>
      <c r="B395" s="8" t="s">
        <v>874</v>
      </c>
      <c r="C395" s="8" t="s">
        <v>1167</v>
      </c>
      <c r="D395" s="8" t="s">
        <v>217</v>
      </c>
      <c r="E395" s="8">
        <v>11</v>
      </c>
      <c r="F395" s="10">
        <v>11700</v>
      </c>
      <c r="G395" s="10">
        <v>21200</v>
      </c>
      <c r="H395" s="10">
        <f t="shared" si="18"/>
        <v>128700</v>
      </c>
      <c r="I395" s="10">
        <f t="shared" si="19"/>
        <v>233200</v>
      </c>
      <c r="J395" s="8">
        <f t="shared" si="20"/>
        <v>0</v>
      </c>
      <c r="K395" s="8">
        <f>IFERROR(INDEX(T_OrdenesTrabajo[En_Filtro],MATCH(B395,T_OrdenesTrabajo[ID_OT],0)),0)</f>
        <v>1</v>
      </c>
    </row>
    <row r="396" spans="1:11" x14ac:dyDescent="0.25">
      <c r="A396" s="8" t="s">
        <v>1559</v>
      </c>
      <c r="B396" s="8" t="s">
        <v>874</v>
      </c>
      <c r="C396" s="8" t="s">
        <v>1167</v>
      </c>
      <c r="D396" s="8" t="s">
        <v>214</v>
      </c>
      <c r="E396" s="8">
        <v>8</v>
      </c>
      <c r="F396" s="10">
        <v>13700</v>
      </c>
      <c r="G396" s="10">
        <v>23600</v>
      </c>
      <c r="H396" s="10">
        <f t="shared" si="18"/>
        <v>109600</v>
      </c>
      <c r="I396" s="10">
        <f t="shared" si="19"/>
        <v>188800</v>
      </c>
      <c r="J396" s="8">
        <f t="shared" si="20"/>
        <v>0</v>
      </c>
      <c r="K396" s="8">
        <f>IFERROR(INDEX(T_OrdenesTrabajo[En_Filtro],MATCH(B396,T_OrdenesTrabajo[ID_OT],0)),0)</f>
        <v>1</v>
      </c>
    </row>
    <row r="397" spans="1:11" x14ac:dyDescent="0.25">
      <c r="A397" s="8" t="s">
        <v>1560</v>
      </c>
      <c r="B397" s="8" t="s">
        <v>879</v>
      </c>
      <c r="C397" s="8" t="s">
        <v>1164</v>
      </c>
      <c r="D397" s="8" t="s">
        <v>45</v>
      </c>
      <c r="E397" s="8">
        <v>14</v>
      </c>
      <c r="F397" s="10">
        <v>27140</v>
      </c>
      <c r="G397" s="10">
        <v>35970</v>
      </c>
      <c r="H397" s="10">
        <f t="shared" si="18"/>
        <v>379960</v>
      </c>
      <c r="I397" s="10">
        <f t="shared" si="19"/>
        <v>503580</v>
      </c>
      <c r="J397" s="8">
        <f t="shared" si="20"/>
        <v>0</v>
      </c>
      <c r="K397" s="8">
        <f>IFERROR(INDEX(T_OrdenesTrabajo[En_Filtro],MATCH(B397,T_OrdenesTrabajo[ID_OT],0)),0)</f>
        <v>1</v>
      </c>
    </row>
    <row r="398" spans="1:11" x14ac:dyDescent="0.25">
      <c r="A398" s="8" t="s">
        <v>1561</v>
      </c>
      <c r="B398" s="8" t="s">
        <v>879</v>
      </c>
      <c r="C398" s="8" t="s">
        <v>1164</v>
      </c>
      <c r="D398" s="8" t="s">
        <v>33</v>
      </c>
      <c r="E398" s="8">
        <v>1</v>
      </c>
      <c r="F398" s="10">
        <v>216420</v>
      </c>
      <c r="G398" s="10">
        <v>321770</v>
      </c>
      <c r="H398" s="10">
        <f t="shared" si="18"/>
        <v>216420</v>
      </c>
      <c r="I398" s="10">
        <f t="shared" si="19"/>
        <v>321770</v>
      </c>
      <c r="J398" s="8">
        <f t="shared" si="20"/>
        <v>0</v>
      </c>
      <c r="K398" s="8">
        <f>IFERROR(INDEX(T_OrdenesTrabajo[En_Filtro],MATCH(B398,T_OrdenesTrabajo[ID_OT],0)),0)</f>
        <v>1</v>
      </c>
    </row>
    <row r="399" spans="1:11" x14ac:dyDescent="0.25">
      <c r="A399" s="8" t="s">
        <v>1562</v>
      </c>
      <c r="B399" s="8" t="s">
        <v>879</v>
      </c>
      <c r="C399" s="8" t="s">
        <v>1164</v>
      </c>
      <c r="D399" s="8" t="s">
        <v>42</v>
      </c>
      <c r="E399" s="8">
        <v>1</v>
      </c>
      <c r="F399" s="10">
        <v>40910</v>
      </c>
      <c r="G399" s="10">
        <v>51360</v>
      </c>
      <c r="H399" s="10">
        <f t="shared" si="18"/>
        <v>40910</v>
      </c>
      <c r="I399" s="10">
        <f t="shared" si="19"/>
        <v>51360</v>
      </c>
      <c r="J399" s="8">
        <f t="shared" si="20"/>
        <v>0</v>
      </c>
      <c r="K399" s="8">
        <f>IFERROR(INDEX(T_OrdenesTrabajo[En_Filtro],MATCH(B399,T_OrdenesTrabajo[ID_OT],0)),0)</f>
        <v>1</v>
      </c>
    </row>
    <row r="400" spans="1:11" x14ac:dyDescent="0.25">
      <c r="A400" s="8" t="s">
        <v>1563</v>
      </c>
      <c r="B400" s="8" t="s">
        <v>879</v>
      </c>
      <c r="C400" s="8" t="s">
        <v>1167</v>
      </c>
      <c r="D400" s="8" t="s">
        <v>221</v>
      </c>
      <c r="E400" s="8">
        <v>16</v>
      </c>
      <c r="F400" s="10">
        <v>13900</v>
      </c>
      <c r="G400" s="10">
        <v>24800</v>
      </c>
      <c r="H400" s="10">
        <f t="shared" si="18"/>
        <v>222400</v>
      </c>
      <c r="I400" s="10">
        <f t="shared" si="19"/>
        <v>396800</v>
      </c>
      <c r="J400" s="8">
        <f t="shared" si="20"/>
        <v>0</v>
      </c>
      <c r="K400" s="8">
        <f>IFERROR(INDEX(T_OrdenesTrabajo[En_Filtro],MATCH(B400,T_OrdenesTrabajo[ID_OT],0)),0)</f>
        <v>1</v>
      </c>
    </row>
    <row r="401" spans="1:11" x14ac:dyDescent="0.25">
      <c r="A401" s="8" t="s">
        <v>1564</v>
      </c>
      <c r="B401" s="8" t="s">
        <v>884</v>
      </c>
      <c r="C401" s="8" t="s">
        <v>1164</v>
      </c>
      <c r="D401" s="8" t="s">
        <v>63</v>
      </c>
      <c r="E401" s="8">
        <v>1</v>
      </c>
      <c r="F401" s="10">
        <v>69080</v>
      </c>
      <c r="G401" s="10">
        <v>87090</v>
      </c>
      <c r="H401" s="10">
        <f t="shared" si="18"/>
        <v>69080</v>
      </c>
      <c r="I401" s="10">
        <f t="shared" si="19"/>
        <v>87090</v>
      </c>
      <c r="J401" s="8">
        <f t="shared" si="20"/>
        <v>0</v>
      </c>
      <c r="K401" s="8">
        <f>IFERROR(INDEX(T_OrdenesTrabajo[En_Filtro],MATCH(B401,T_OrdenesTrabajo[ID_OT],0)),0)</f>
        <v>1</v>
      </c>
    </row>
    <row r="402" spans="1:11" x14ac:dyDescent="0.25">
      <c r="A402" s="8" t="s">
        <v>1565</v>
      </c>
      <c r="B402" s="8" t="s">
        <v>884</v>
      </c>
      <c r="C402" s="8" t="s">
        <v>1164</v>
      </c>
      <c r="D402" s="8" t="s">
        <v>20</v>
      </c>
      <c r="E402" s="8">
        <v>15</v>
      </c>
      <c r="F402" s="10">
        <v>6810</v>
      </c>
      <c r="G402" s="10">
        <v>9610</v>
      </c>
      <c r="H402" s="10">
        <f t="shared" si="18"/>
        <v>102150</v>
      </c>
      <c r="I402" s="10">
        <f t="shared" si="19"/>
        <v>144150</v>
      </c>
      <c r="J402" s="8">
        <f t="shared" si="20"/>
        <v>0</v>
      </c>
      <c r="K402" s="8">
        <f>IFERROR(INDEX(T_OrdenesTrabajo[En_Filtro],MATCH(B402,T_OrdenesTrabajo[ID_OT],0)),0)</f>
        <v>1</v>
      </c>
    </row>
    <row r="403" spans="1:11" x14ac:dyDescent="0.25">
      <c r="A403" s="8" t="s">
        <v>1566</v>
      </c>
      <c r="B403" s="8" t="s">
        <v>884</v>
      </c>
      <c r="C403" s="8" t="s">
        <v>1164</v>
      </c>
      <c r="D403" s="8" t="s">
        <v>13</v>
      </c>
      <c r="E403" s="8">
        <v>2</v>
      </c>
      <c r="F403" s="10">
        <v>31620</v>
      </c>
      <c r="G403" s="10">
        <v>41160</v>
      </c>
      <c r="H403" s="10">
        <f t="shared" si="18"/>
        <v>63240</v>
      </c>
      <c r="I403" s="10">
        <f t="shared" si="19"/>
        <v>82320</v>
      </c>
      <c r="J403" s="8">
        <f t="shared" si="20"/>
        <v>0</v>
      </c>
      <c r="K403" s="8">
        <f>IFERROR(INDEX(T_OrdenesTrabajo[En_Filtro],MATCH(B403,T_OrdenesTrabajo[ID_OT],0)),0)</f>
        <v>1</v>
      </c>
    </row>
    <row r="404" spans="1:11" x14ac:dyDescent="0.25">
      <c r="A404" s="8" t="s">
        <v>1567</v>
      </c>
      <c r="B404" s="8" t="s">
        <v>884</v>
      </c>
      <c r="C404" s="8" t="s">
        <v>1167</v>
      </c>
      <c r="D404" s="8" t="s">
        <v>217</v>
      </c>
      <c r="E404" s="8">
        <v>6</v>
      </c>
      <c r="F404" s="10">
        <v>13800</v>
      </c>
      <c r="G404" s="10">
        <v>21200</v>
      </c>
      <c r="H404" s="10">
        <f t="shared" si="18"/>
        <v>82800</v>
      </c>
      <c r="I404" s="10">
        <f t="shared" si="19"/>
        <v>127200</v>
      </c>
      <c r="J404" s="8">
        <f t="shared" si="20"/>
        <v>0</v>
      </c>
      <c r="K404" s="8">
        <f>IFERROR(INDEX(T_OrdenesTrabajo[En_Filtro],MATCH(B404,T_OrdenesTrabajo[ID_OT],0)),0)</f>
        <v>1</v>
      </c>
    </row>
    <row r="405" spans="1:11" x14ac:dyDescent="0.25">
      <c r="A405" s="8" t="s">
        <v>1568</v>
      </c>
      <c r="B405" s="8" t="s">
        <v>884</v>
      </c>
      <c r="C405" s="8" t="s">
        <v>1167</v>
      </c>
      <c r="D405" s="8" t="s">
        <v>217</v>
      </c>
      <c r="E405" s="8">
        <v>2</v>
      </c>
      <c r="F405" s="10">
        <v>13800</v>
      </c>
      <c r="G405" s="10">
        <v>24800</v>
      </c>
      <c r="H405" s="10">
        <f t="shared" si="18"/>
        <v>27600</v>
      </c>
      <c r="I405" s="10">
        <f t="shared" si="19"/>
        <v>49600</v>
      </c>
      <c r="J405" s="8">
        <f t="shared" si="20"/>
        <v>0</v>
      </c>
      <c r="K405" s="8">
        <f>IFERROR(INDEX(T_OrdenesTrabajo[En_Filtro],MATCH(B405,T_OrdenesTrabajo[ID_OT],0)),0)</f>
        <v>1</v>
      </c>
    </row>
    <row r="406" spans="1:11" x14ac:dyDescent="0.25">
      <c r="A406" s="8" t="s">
        <v>1569</v>
      </c>
      <c r="B406" s="8" t="s">
        <v>889</v>
      </c>
      <c r="C406" s="8" t="s">
        <v>1164</v>
      </c>
      <c r="D406" s="8" t="s">
        <v>17</v>
      </c>
      <c r="E406" s="8">
        <v>9</v>
      </c>
      <c r="F406" s="10">
        <v>5170</v>
      </c>
      <c r="G406" s="10">
        <v>7350</v>
      </c>
      <c r="H406" s="10">
        <f t="shared" si="18"/>
        <v>46530</v>
      </c>
      <c r="I406" s="10">
        <f t="shared" si="19"/>
        <v>66150</v>
      </c>
      <c r="J406" s="8">
        <f t="shared" si="20"/>
        <v>0</v>
      </c>
      <c r="K406" s="8">
        <f>IFERROR(INDEX(T_OrdenesTrabajo[En_Filtro],MATCH(B406,T_OrdenesTrabajo[ID_OT],0)),0)</f>
        <v>1</v>
      </c>
    </row>
    <row r="407" spans="1:11" x14ac:dyDescent="0.25">
      <c r="A407" s="8" t="s">
        <v>1570</v>
      </c>
      <c r="B407" s="8" t="s">
        <v>889</v>
      </c>
      <c r="C407" s="8" t="s">
        <v>1167</v>
      </c>
      <c r="D407" s="8" t="s">
        <v>231</v>
      </c>
      <c r="E407" s="8">
        <v>4</v>
      </c>
      <c r="F407" s="10">
        <v>13900</v>
      </c>
      <c r="G407" s="10">
        <v>29800</v>
      </c>
      <c r="H407" s="10">
        <f t="shared" si="18"/>
        <v>55600</v>
      </c>
      <c r="I407" s="10">
        <f t="shared" si="19"/>
        <v>119200</v>
      </c>
      <c r="J407" s="8">
        <f t="shared" si="20"/>
        <v>0</v>
      </c>
      <c r="K407" s="8">
        <f>IFERROR(INDEX(T_OrdenesTrabajo[En_Filtro],MATCH(B407,T_OrdenesTrabajo[ID_OT],0)),0)</f>
        <v>1</v>
      </c>
    </row>
    <row r="408" spans="1:11" x14ac:dyDescent="0.25">
      <c r="A408" s="8" t="s">
        <v>1571</v>
      </c>
      <c r="B408" s="8" t="s">
        <v>889</v>
      </c>
      <c r="C408" s="8" t="s">
        <v>1167</v>
      </c>
      <c r="D408" s="8" t="s">
        <v>219</v>
      </c>
      <c r="E408" s="8">
        <v>4</v>
      </c>
      <c r="F408" s="10">
        <v>11800</v>
      </c>
      <c r="G408" s="10">
        <v>23400</v>
      </c>
      <c r="H408" s="10">
        <f t="shared" si="18"/>
        <v>47200</v>
      </c>
      <c r="I408" s="10">
        <f t="shared" si="19"/>
        <v>93600</v>
      </c>
      <c r="J408" s="8">
        <f t="shared" si="20"/>
        <v>0</v>
      </c>
      <c r="K408" s="8">
        <f>IFERROR(INDEX(T_OrdenesTrabajo[En_Filtro],MATCH(B408,T_OrdenesTrabajo[ID_OT],0)),0)</f>
        <v>1</v>
      </c>
    </row>
    <row r="409" spans="1:11" x14ac:dyDescent="0.25">
      <c r="A409" s="8" t="s">
        <v>1572</v>
      </c>
      <c r="B409" s="8" t="s">
        <v>894</v>
      </c>
      <c r="C409" s="8" t="s">
        <v>1164</v>
      </c>
      <c r="D409" s="8" t="s">
        <v>52</v>
      </c>
      <c r="E409" s="8">
        <v>1</v>
      </c>
      <c r="F409" s="10">
        <v>300660</v>
      </c>
      <c r="G409" s="10">
        <v>375310</v>
      </c>
      <c r="H409" s="10">
        <f t="shared" si="18"/>
        <v>300660</v>
      </c>
      <c r="I409" s="10">
        <f t="shared" si="19"/>
        <v>375310</v>
      </c>
      <c r="J409" s="8">
        <f t="shared" si="20"/>
        <v>0</v>
      </c>
      <c r="K409" s="8">
        <f>IFERROR(INDEX(T_OrdenesTrabajo[En_Filtro],MATCH(B409,T_OrdenesTrabajo[ID_OT],0)),0)</f>
        <v>1</v>
      </c>
    </row>
    <row r="410" spans="1:11" x14ac:dyDescent="0.25">
      <c r="A410" s="8" t="s">
        <v>1573</v>
      </c>
      <c r="B410" s="8" t="s">
        <v>894</v>
      </c>
      <c r="C410" s="8" t="s">
        <v>1164</v>
      </c>
      <c r="D410" s="8" t="s">
        <v>24</v>
      </c>
      <c r="E410" s="8">
        <v>2</v>
      </c>
      <c r="F410" s="10">
        <v>368270</v>
      </c>
      <c r="G410" s="10">
        <v>539620</v>
      </c>
      <c r="H410" s="10">
        <f t="shared" si="18"/>
        <v>736540</v>
      </c>
      <c r="I410" s="10">
        <f t="shared" si="19"/>
        <v>1079240</v>
      </c>
      <c r="J410" s="8">
        <f t="shared" si="20"/>
        <v>0</v>
      </c>
      <c r="K410" s="8">
        <f>IFERROR(INDEX(T_OrdenesTrabajo[En_Filtro],MATCH(B410,T_OrdenesTrabajo[ID_OT],0)),0)</f>
        <v>1</v>
      </c>
    </row>
    <row r="411" spans="1:11" x14ac:dyDescent="0.25">
      <c r="A411" s="8" t="s">
        <v>1574</v>
      </c>
      <c r="B411" s="8" t="s">
        <v>894</v>
      </c>
      <c r="C411" s="8" t="s">
        <v>1167</v>
      </c>
      <c r="D411" s="8" t="s">
        <v>224</v>
      </c>
      <c r="E411" s="8">
        <v>28</v>
      </c>
      <c r="F411" s="10">
        <v>13700</v>
      </c>
      <c r="G411" s="10">
        <v>25300</v>
      </c>
      <c r="H411" s="10">
        <f t="shared" si="18"/>
        <v>383600</v>
      </c>
      <c r="I411" s="10">
        <f t="shared" si="19"/>
        <v>708400</v>
      </c>
      <c r="J411" s="8">
        <f t="shared" si="20"/>
        <v>0</v>
      </c>
      <c r="K411" s="8">
        <f>IFERROR(INDEX(T_OrdenesTrabajo[En_Filtro],MATCH(B411,T_OrdenesTrabajo[ID_OT],0)),0)</f>
        <v>1</v>
      </c>
    </row>
    <row r="412" spans="1:11" x14ac:dyDescent="0.25">
      <c r="A412" s="8" t="s">
        <v>1575</v>
      </c>
      <c r="B412" s="8" t="s">
        <v>894</v>
      </c>
      <c r="C412" s="8" t="s">
        <v>1167</v>
      </c>
      <c r="D412" s="8" t="s">
        <v>219</v>
      </c>
      <c r="E412" s="8">
        <v>27</v>
      </c>
      <c r="F412" s="10">
        <v>11200</v>
      </c>
      <c r="G412" s="10">
        <v>24700</v>
      </c>
      <c r="H412" s="10">
        <f t="shared" si="18"/>
        <v>302400</v>
      </c>
      <c r="I412" s="10">
        <f t="shared" si="19"/>
        <v>666900</v>
      </c>
      <c r="J412" s="8">
        <f t="shared" si="20"/>
        <v>0</v>
      </c>
      <c r="K412" s="8">
        <f>IFERROR(INDEX(T_OrdenesTrabajo[En_Filtro],MATCH(B412,T_OrdenesTrabajo[ID_OT],0)),0)</f>
        <v>1</v>
      </c>
    </row>
    <row r="413" spans="1:11" x14ac:dyDescent="0.25">
      <c r="A413" s="8" t="s">
        <v>1576</v>
      </c>
      <c r="B413" s="8" t="s">
        <v>899</v>
      </c>
      <c r="C413" s="8" t="s">
        <v>1164</v>
      </c>
      <c r="D413" s="8" t="s">
        <v>24</v>
      </c>
      <c r="E413" s="8">
        <v>1</v>
      </c>
      <c r="F413" s="10">
        <v>384320</v>
      </c>
      <c r="G413" s="10">
        <v>533490</v>
      </c>
      <c r="H413" s="10">
        <f t="shared" si="18"/>
        <v>384320</v>
      </c>
      <c r="I413" s="10">
        <f t="shared" si="19"/>
        <v>533490</v>
      </c>
      <c r="J413" s="8">
        <f t="shared" si="20"/>
        <v>0</v>
      </c>
      <c r="K413" s="8">
        <f>IFERROR(INDEX(T_OrdenesTrabajo[En_Filtro],MATCH(B413,T_OrdenesTrabajo[ID_OT],0)),0)</f>
        <v>1</v>
      </c>
    </row>
    <row r="414" spans="1:11" x14ac:dyDescent="0.25">
      <c r="A414" s="8" t="s">
        <v>1577</v>
      </c>
      <c r="B414" s="8" t="s">
        <v>899</v>
      </c>
      <c r="C414" s="8" t="s">
        <v>1167</v>
      </c>
      <c r="D414" s="8" t="s">
        <v>221</v>
      </c>
      <c r="E414" s="8">
        <v>28</v>
      </c>
      <c r="F414" s="10">
        <v>14700</v>
      </c>
      <c r="G414" s="10">
        <v>24600</v>
      </c>
      <c r="H414" s="10">
        <f t="shared" si="18"/>
        <v>411600</v>
      </c>
      <c r="I414" s="10">
        <f t="shared" si="19"/>
        <v>688800</v>
      </c>
      <c r="J414" s="8">
        <f t="shared" si="20"/>
        <v>0</v>
      </c>
      <c r="K414" s="8">
        <f>IFERROR(INDEX(T_OrdenesTrabajo[En_Filtro],MATCH(B414,T_OrdenesTrabajo[ID_OT],0)),0)</f>
        <v>1</v>
      </c>
    </row>
    <row r="415" spans="1:11" x14ac:dyDescent="0.25">
      <c r="A415" s="8" t="s">
        <v>1578</v>
      </c>
      <c r="B415" s="8" t="s">
        <v>904</v>
      </c>
      <c r="C415" s="8" t="s">
        <v>1164</v>
      </c>
      <c r="D415" s="8" t="s">
        <v>15</v>
      </c>
      <c r="E415" s="8">
        <v>2</v>
      </c>
      <c r="F415" s="10">
        <v>24090</v>
      </c>
      <c r="G415" s="10">
        <v>29680</v>
      </c>
      <c r="H415" s="10">
        <f t="shared" si="18"/>
        <v>48180</v>
      </c>
      <c r="I415" s="10">
        <f t="shared" si="19"/>
        <v>59360</v>
      </c>
      <c r="J415" s="8">
        <f t="shared" si="20"/>
        <v>0</v>
      </c>
      <c r="K415" s="8">
        <f>IFERROR(INDEX(T_OrdenesTrabajo[En_Filtro],MATCH(B415,T_OrdenesTrabajo[ID_OT],0)),0)</f>
        <v>1</v>
      </c>
    </row>
    <row r="416" spans="1:11" x14ac:dyDescent="0.25">
      <c r="A416" s="8" t="s">
        <v>1579</v>
      </c>
      <c r="B416" s="8" t="s">
        <v>904</v>
      </c>
      <c r="C416" s="8" t="s">
        <v>1164</v>
      </c>
      <c r="D416" s="8" t="s">
        <v>13</v>
      </c>
      <c r="E416" s="8">
        <v>1</v>
      </c>
      <c r="F416" s="10"/>
      <c r="G416" s="10">
        <v>41800</v>
      </c>
      <c r="H416" s="10" t="str">
        <f t="shared" si="18"/>
        <v/>
      </c>
      <c r="I416" s="10">
        <f t="shared" si="19"/>
        <v>41800</v>
      </c>
      <c r="J416" s="8">
        <f t="shared" si="20"/>
        <v>1</v>
      </c>
      <c r="K416" s="8">
        <f>IFERROR(INDEX(T_OrdenesTrabajo[En_Filtro],MATCH(B416,T_OrdenesTrabajo[ID_OT],0)),0)</f>
        <v>1</v>
      </c>
    </row>
    <row r="417" spans="1:11" x14ac:dyDescent="0.25">
      <c r="A417" s="8" t="s">
        <v>1580</v>
      </c>
      <c r="B417" s="8" t="s">
        <v>904</v>
      </c>
      <c r="C417" s="8" t="s">
        <v>1164</v>
      </c>
      <c r="D417" s="8" t="s">
        <v>22</v>
      </c>
      <c r="E417" s="8">
        <v>24</v>
      </c>
      <c r="F417" s="10">
        <v>4800</v>
      </c>
      <c r="G417" s="10">
        <v>5770</v>
      </c>
      <c r="H417" s="10">
        <f t="shared" si="18"/>
        <v>115200</v>
      </c>
      <c r="I417" s="10">
        <f t="shared" si="19"/>
        <v>138480</v>
      </c>
      <c r="J417" s="8">
        <f t="shared" si="20"/>
        <v>0</v>
      </c>
      <c r="K417" s="8">
        <f>IFERROR(INDEX(T_OrdenesTrabajo[En_Filtro],MATCH(B417,T_OrdenesTrabajo[ID_OT],0)),0)</f>
        <v>1</v>
      </c>
    </row>
    <row r="418" spans="1:11" x14ac:dyDescent="0.25">
      <c r="A418" s="8" t="s">
        <v>1581</v>
      </c>
      <c r="B418" s="8" t="s">
        <v>904</v>
      </c>
      <c r="C418" s="8" t="s">
        <v>1167</v>
      </c>
      <c r="D418" s="8" t="s">
        <v>214</v>
      </c>
      <c r="E418" s="8">
        <v>5</v>
      </c>
      <c r="F418" s="10"/>
      <c r="G418" s="10">
        <v>23300</v>
      </c>
      <c r="H418" s="10" t="str">
        <f t="shared" si="18"/>
        <v/>
      </c>
      <c r="I418" s="10">
        <f t="shared" si="19"/>
        <v>116500</v>
      </c>
      <c r="J418" s="8">
        <f t="shared" si="20"/>
        <v>1</v>
      </c>
      <c r="K418" s="8">
        <f>IFERROR(INDEX(T_OrdenesTrabajo[En_Filtro],MATCH(B418,T_OrdenesTrabajo[ID_OT],0)),0)</f>
        <v>1</v>
      </c>
    </row>
    <row r="419" spans="1:11" x14ac:dyDescent="0.25">
      <c r="A419" s="8" t="s">
        <v>1582</v>
      </c>
      <c r="B419" s="8" t="s">
        <v>909</v>
      </c>
      <c r="C419" s="8" t="s">
        <v>1164</v>
      </c>
      <c r="D419" s="8" t="s">
        <v>9</v>
      </c>
      <c r="E419" s="8">
        <v>1</v>
      </c>
      <c r="F419" s="10">
        <v>14610</v>
      </c>
      <c r="G419" s="10">
        <v>21310</v>
      </c>
      <c r="H419" s="10">
        <f t="shared" si="18"/>
        <v>14610</v>
      </c>
      <c r="I419" s="10">
        <f t="shared" si="19"/>
        <v>21310</v>
      </c>
      <c r="J419" s="8">
        <f t="shared" si="20"/>
        <v>0</v>
      </c>
      <c r="K419" s="8">
        <f>IFERROR(INDEX(T_OrdenesTrabajo[En_Filtro],MATCH(B419,T_OrdenesTrabajo[ID_OT],0)),0)</f>
        <v>1</v>
      </c>
    </row>
    <row r="420" spans="1:11" x14ac:dyDescent="0.25">
      <c r="A420" s="8" t="s">
        <v>1583</v>
      </c>
      <c r="B420" s="8" t="s">
        <v>909</v>
      </c>
      <c r="C420" s="8" t="s">
        <v>1164</v>
      </c>
      <c r="D420" s="8" t="s">
        <v>20</v>
      </c>
      <c r="E420" s="8">
        <v>24</v>
      </c>
      <c r="F420" s="10">
        <v>6130</v>
      </c>
      <c r="G420" s="10">
        <v>8560</v>
      </c>
      <c r="H420" s="10">
        <f t="shared" si="18"/>
        <v>147120</v>
      </c>
      <c r="I420" s="10">
        <f t="shared" si="19"/>
        <v>205440</v>
      </c>
      <c r="J420" s="8">
        <f t="shared" si="20"/>
        <v>0</v>
      </c>
      <c r="K420" s="8">
        <f>IFERROR(INDEX(T_OrdenesTrabajo[En_Filtro],MATCH(B420,T_OrdenesTrabajo[ID_OT],0)),0)</f>
        <v>1</v>
      </c>
    </row>
    <row r="421" spans="1:11" x14ac:dyDescent="0.25">
      <c r="A421" s="8" t="s">
        <v>1584</v>
      </c>
      <c r="B421" s="8" t="s">
        <v>909</v>
      </c>
      <c r="C421" s="8" t="s">
        <v>1167</v>
      </c>
      <c r="D421" s="8" t="s">
        <v>231</v>
      </c>
      <c r="E421" s="8">
        <v>3</v>
      </c>
      <c r="F421" s="10">
        <v>14100</v>
      </c>
      <c r="G421" s="10">
        <v>28500</v>
      </c>
      <c r="H421" s="10">
        <f t="shared" si="18"/>
        <v>42300</v>
      </c>
      <c r="I421" s="10">
        <f t="shared" si="19"/>
        <v>85500</v>
      </c>
      <c r="J421" s="8">
        <f t="shared" si="20"/>
        <v>0</v>
      </c>
      <c r="K421" s="8">
        <f>IFERROR(INDEX(T_OrdenesTrabajo[En_Filtro],MATCH(B421,T_OrdenesTrabajo[ID_OT],0)),0)</f>
        <v>1</v>
      </c>
    </row>
    <row r="422" spans="1:11" x14ac:dyDescent="0.25">
      <c r="A422" s="8" t="s">
        <v>1585</v>
      </c>
      <c r="B422" s="8" t="s">
        <v>914</v>
      </c>
      <c r="C422" s="8" t="s">
        <v>1164</v>
      </c>
      <c r="D422" s="8" t="s">
        <v>15</v>
      </c>
      <c r="E422" s="8">
        <v>3</v>
      </c>
      <c r="F422" s="10">
        <v>20990</v>
      </c>
      <c r="G422" s="10">
        <v>26010</v>
      </c>
      <c r="H422" s="10">
        <f t="shared" si="18"/>
        <v>62970</v>
      </c>
      <c r="I422" s="10">
        <f t="shared" si="19"/>
        <v>78030</v>
      </c>
      <c r="J422" s="8">
        <f t="shared" si="20"/>
        <v>0</v>
      </c>
      <c r="K422" s="8">
        <f>IFERROR(INDEX(T_OrdenesTrabajo[En_Filtro],MATCH(B422,T_OrdenesTrabajo[ID_OT],0)),0)</f>
        <v>1</v>
      </c>
    </row>
    <row r="423" spans="1:11" x14ac:dyDescent="0.25">
      <c r="A423" s="8" t="s">
        <v>1586</v>
      </c>
      <c r="B423" s="8" t="s">
        <v>914</v>
      </c>
      <c r="C423" s="8" t="s">
        <v>1164</v>
      </c>
      <c r="D423" s="8" t="s">
        <v>29</v>
      </c>
      <c r="E423" s="8">
        <v>3</v>
      </c>
      <c r="F423" s="10">
        <v>84710</v>
      </c>
      <c r="G423" s="10"/>
      <c r="H423" s="10">
        <f t="shared" si="18"/>
        <v>254130</v>
      </c>
      <c r="I423" s="10" t="str">
        <f t="shared" si="19"/>
        <v/>
      </c>
      <c r="J423" s="8">
        <f t="shared" si="20"/>
        <v>1</v>
      </c>
      <c r="K423" s="8">
        <f>IFERROR(INDEX(T_OrdenesTrabajo[En_Filtro],MATCH(B423,T_OrdenesTrabajo[ID_OT],0)),0)</f>
        <v>1</v>
      </c>
    </row>
    <row r="424" spans="1:11" x14ac:dyDescent="0.25">
      <c r="A424" s="8" t="s">
        <v>1587</v>
      </c>
      <c r="B424" s="8" t="s">
        <v>914</v>
      </c>
      <c r="C424" s="8" t="s">
        <v>1167</v>
      </c>
      <c r="D424" s="8" t="s">
        <v>214</v>
      </c>
      <c r="E424" s="8">
        <v>9</v>
      </c>
      <c r="F424" s="10">
        <v>11700</v>
      </c>
      <c r="G424" s="10">
        <v>21400</v>
      </c>
      <c r="H424" s="10">
        <f t="shared" si="18"/>
        <v>105300</v>
      </c>
      <c r="I424" s="10">
        <f t="shared" si="19"/>
        <v>192600</v>
      </c>
      <c r="J424" s="8">
        <f t="shared" si="20"/>
        <v>0</v>
      </c>
      <c r="K424" s="8">
        <f>IFERROR(INDEX(T_OrdenesTrabajo[En_Filtro],MATCH(B424,T_OrdenesTrabajo[ID_OT],0)),0)</f>
        <v>1</v>
      </c>
    </row>
    <row r="425" spans="1:11" x14ac:dyDescent="0.25">
      <c r="A425" s="8" t="s">
        <v>1588</v>
      </c>
      <c r="B425" s="8" t="s">
        <v>919</v>
      </c>
      <c r="C425" s="8" t="s">
        <v>1164</v>
      </c>
      <c r="D425" s="8" t="s">
        <v>63</v>
      </c>
      <c r="E425" s="8">
        <v>4</v>
      </c>
      <c r="F425" s="10">
        <v>67780</v>
      </c>
      <c r="G425" s="10">
        <v>75020</v>
      </c>
      <c r="H425" s="10">
        <f t="shared" si="18"/>
        <v>271120</v>
      </c>
      <c r="I425" s="10">
        <f t="shared" si="19"/>
        <v>300080</v>
      </c>
      <c r="J425" s="8">
        <f t="shared" si="20"/>
        <v>0</v>
      </c>
      <c r="K425" s="8">
        <f>IFERROR(INDEX(T_OrdenesTrabajo[En_Filtro],MATCH(B425,T_OrdenesTrabajo[ID_OT],0)),0)</f>
        <v>1</v>
      </c>
    </row>
    <row r="426" spans="1:11" x14ac:dyDescent="0.25">
      <c r="A426" s="8" t="s">
        <v>1589</v>
      </c>
      <c r="B426" s="8" t="s">
        <v>919</v>
      </c>
      <c r="C426" s="8" t="s">
        <v>1164</v>
      </c>
      <c r="D426" s="8" t="s">
        <v>35</v>
      </c>
      <c r="E426" s="8">
        <v>3</v>
      </c>
      <c r="F426" s="10">
        <v>20070</v>
      </c>
      <c r="G426" s="10">
        <v>19790</v>
      </c>
      <c r="H426" s="10">
        <f t="shared" si="18"/>
        <v>60210</v>
      </c>
      <c r="I426" s="10">
        <f t="shared" si="19"/>
        <v>59370</v>
      </c>
      <c r="J426" s="8">
        <f t="shared" si="20"/>
        <v>0</v>
      </c>
      <c r="K426" s="8">
        <f>IFERROR(INDEX(T_OrdenesTrabajo[En_Filtro],MATCH(B426,T_OrdenesTrabajo[ID_OT],0)),0)</f>
        <v>1</v>
      </c>
    </row>
    <row r="427" spans="1:11" x14ac:dyDescent="0.25">
      <c r="A427" s="8" t="s">
        <v>1590</v>
      </c>
      <c r="B427" s="8" t="s">
        <v>919</v>
      </c>
      <c r="C427" s="8" t="s">
        <v>1167</v>
      </c>
      <c r="D427" s="8" t="s">
        <v>217</v>
      </c>
      <c r="E427" s="8">
        <v>7</v>
      </c>
      <c r="F427" s="10">
        <v>11100</v>
      </c>
      <c r="G427" s="10">
        <v>17400</v>
      </c>
      <c r="H427" s="10">
        <f t="shared" si="18"/>
        <v>77700</v>
      </c>
      <c r="I427" s="10">
        <f t="shared" si="19"/>
        <v>121800</v>
      </c>
      <c r="J427" s="8">
        <f t="shared" si="20"/>
        <v>0</v>
      </c>
      <c r="K427" s="8">
        <f>IFERROR(INDEX(T_OrdenesTrabajo[En_Filtro],MATCH(B427,T_OrdenesTrabajo[ID_OT],0)),0)</f>
        <v>1</v>
      </c>
    </row>
    <row r="428" spans="1:11" x14ac:dyDescent="0.25">
      <c r="A428" s="8" t="s">
        <v>1591</v>
      </c>
      <c r="B428" s="8" t="s">
        <v>924</v>
      </c>
      <c r="C428" s="8" t="s">
        <v>1164</v>
      </c>
      <c r="D428" s="8" t="s">
        <v>22</v>
      </c>
      <c r="E428" s="8">
        <v>18</v>
      </c>
      <c r="F428" s="10">
        <v>4280</v>
      </c>
      <c r="G428" s="10">
        <v>5110</v>
      </c>
      <c r="H428" s="10">
        <f t="shared" si="18"/>
        <v>77040</v>
      </c>
      <c r="I428" s="10">
        <f t="shared" si="19"/>
        <v>91980</v>
      </c>
      <c r="J428" s="8">
        <f t="shared" si="20"/>
        <v>0</v>
      </c>
      <c r="K428" s="8">
        <f>IFERROR(INDEX(T_OrdenesTrabajo[En_Filtro],MATCH(B428,T_OrdenesTrabajo[ID_OT],0)),0)</f>
        <v>1</v>
      </c>
    </row>
    <row r="429" spans="1:11" x14ac:dyDescent="0.25">
      <c r="A429" s="8" t="s">
        <v>1592</v>
      </c>
      <c r="B429" s="8" t="s">
        <v>924</v>
      </c>
      <c r="C429" s="8" t="s">
        <v>1164</v>
      </c>
      <c r="D429" s="8" t="s">
        <v>15</v>
      </c>
      <c r="E429" s="8">
        <v>2</v>
      </c>
      <c r="F429" s="10">
        <v>23380</v>
      </c>
      <c r="G429" s="10">
        <v>33370</v>
      </c>
      <c r="H429" s="10">
        <f t="shared" si="18"/>
        <v>46760</v>
      </c>
      <c r="I429" s="10">
        <f t="shared" si="19"/>
        <v>66740</v>
      </c>
      <c r="J429" s="8">
        <f t="shared" si="20"/>
        <v>0</v>
      </c>
      <c r="K429" s="8">
        <f>IFERROR(INDEX(T_OrdenesTrabajo[En_Filtro],MATCH(B429,T_OrdenesTrabajo[ID_OT],0)),0)</f>
        <v>1</v>
      </c>
    </row>
    <row r="430" spans="1:11" x14ac:dyDescent="0.25">
      <c r="A430" s="8" t="s">
        <v>1593</v>
      </c>
      <c r="B430" s="8" t="s">
        <v>924</v>
      </c>
      <c r="C430" s="8" t="s">
        <v>1167</v>
      </c>
      <c r="D430" s="8" t="s">
        <v>217</v>
      </c>
      <c r="E430" s="8">
        <v>6</v>
      </c>
      <c r="F430" s="10">
        <v>13100</v>
      </c>
      <c r="G430" s="10">
        <v>22300</v>
      </c>
      <c r="H430" s="10">
        <f t="shared" si="18"/>
        <v>78600</v>
      </c>
      <c r="I430" s="10">
        <f t="shared" si="19"/>
        <v>133800</v>
      </c>
      <c r="J430" s="8">
        <f t="shared" si="20"/>
        <v>0</v>
      </c>
      <c r="K430" s="8">
        <f>IFERROR(INDEX(T_OrdenesTrabajo[En_Filtro],MATCH(B430,T_OrdenesTrabajo[ID_OT],0)),0)</f>
        <v>1</v>
      </c>
    </row>
    <row r="431" spans="1:11" x14ac:dyDescent="0.25">
      <c r="A431" s="8" t="s">
        <v>1594</v>
      </c>
      <c r="B431" s="8" t="s">
        <v>924</v>
      </c>
      <c r="C431" s="8" t="s">
        <v>1167</v>
      </c>
      <c r="D431" s="8" t="s">
        <v>214</v>
      </c>
      <c r="E431" s="8">
        <v>4</v>
      </c>
      <c r="F431" s="10">
        <v>12400</v>
      </c>
      <c r="G431" s="10">
        <v>21700</v>
      </c>
      <c r="H431" s="10">
        <f t="shared" si="18"/>
        <v>49600</v>
      </c>
      <c r="I431" s="10">
        <f t="shared" si="19"/>
        <v>86800</v>
      </c>
      <c r="J431" s="8">
        <f t="shared" si="20"/>
        <v>0</v>
      </c>
      <c r="K431" s="8">
        <f>IFERROR(INDEX(T_OrdenesTrabajo[En_Filtro],MATCH(B431,T_OrdenesTrabajo[ID_OT],0)),0)</f>
        <v>1</v>
      </c>
    </row>
    <row r="432" spans="1:11" x14ac:dyDescent="0.25">
      <c r="A432" s="8" t="s">
        <v>1595</v>
      </c>
      <c r="B432" s="8" t="s">
        <v>929</v>
      </c>
      <c r="C432" s="8" t="s">
        <v>1164</v>
      </c>
      <c r="D432" s="8" t="s">
        <v>9</v>
      </c>
      <c r="E432" s="8">
        <v>3</v>
      </c>
      <c r="F432" s="10">
        <v>15870</v>
      </c>
      <c r="G432" s="10">
        <v>20080</v>
      </c>
      <c r="H432" s="10">
        <f t="shared" si="18"/>
        <v>47610</v>
      </c>
      <c r="I432" s="10">
        <f t="shared" si="19"/>
        <v>60240</v>
      </c>
      <c r="J432" s="8">
        <f t="shared" si="20"/>
        <v>0</v>
      </c>
      <c r="K432" s="8">
        <f>IFERROR(INDEX(T_OrdenesTrabajo[En_Filtro],MATCH(B432,T_OrdenesTrabajo[ID_OT],0)),0)</f>
        <v>1</v>
      </c>
    </row>
    <row r="433" spans="1:11" x14ac:dyDescent="0.25">
      <c r="A433" s="8" t="s">
        <v>1596</v>
      </c>
      <c r="B433" s="8" t="s">
        <v>929</v>
      </c>
      <c r="C433" s="8" t="s">
        <v>1164</v>
      </c>
      <c r="D433" s="8" t="s">
        <v>17</v>
      </c>
      <c r="E433" s="8">
        <v>9</v>
      </c>
      <c r="F433" s="10">
        <v>5470</v>
      </c>
      <c r="G433" s="10">
        <v>6860</v>
      </c>
      <c r="H433" s="10">
        <f t="shared" si="18"/>
        <v>49230</v>
      </c>
      <c r="I433" s="10">
        <f t="shared" si="19"/>
        <v>61740</v>
      </c>
      <c r="J433" s="8">
        <f t="shared" si="20"/>
        <v>0</v>
      </c>
      <c r="K433" s="8">
        <f>IFERROR(INDEX(T_OrdenesTrabajo[En_Filtro],MATCH(B433,T_OrdenesTrabajo[ID_OT],0)),0)</f>
        <v>1</v>
      </c>
    </row>
    <row r="434" spans="1:11" x14ac:dyDescent="0.25">
      <c r="A434" s="8" t="s">
        <v>1597</v>
      </c>
      <c r="B434" s="8" t="s">
        <v>929</v>
      </c>
      <c r="C434" s="8" t="s">
        <v>1167</v>
      </c>
      <c r="D434" s="8" t="s">
        <v>214</v>
      </c>
      <c r="E434" s="8">
        <v>5</v>
      </c>
      <c r="F434" s="10">
        <v>12300</v>
      </c>
      <c r="G434" s="10">
        <v>22600</v>
      </c>
      <c r="H434" s="10">
        <f t="shared" si="18"/>
        <v>61500</v>
      </c>
      <c r="I434" s="10">
        <f t="shared" si="19"/>
        <v>113000</v>
      </c>
      <c r="J434" s="8">
        <f t="shared" si="20"/>
        <v>0</v>
      </c>
      <c r="K434" s="8">
        <f>IFERROR(INDEX(T_OrdenesTrabajo[En_Filtro],MATCH(B434,T_OrdenesTrabajo[ID_OT],0)),0)</f>
        <v>1</v>
      </c>
    </row>
    <row r="435" spans="1:11" x14ac:dyDescent="0.25">
      <c r="A435" s="8" t="s">
        <v>1598</v>
      </c>
      <c r="B435" s="8" t="s">
        <v>929</v>
      </c>
      <c r="C435" s="8" t="s">
        <v>1167</v>
      </c>
      <c r="D435" s="8" t="s">
        <v>219</v>
      </c>
      <c r="E435" s="8">
        <v>2</v>
      </c>
      <c r="F435" s="10">
        <v>11900</v>
      </c>
      <c r="G435" s="10">
        <v>21900</v>
      </c>
      <c r="H435" s="10">
        <f t="shared" si="18"/>
        <v>23800</v>
      </c>
      <c r="I435" s="10">
        <f t="shared" si="19"/>
        <v>43800</v>
      </c>
      <c r="J435" s="8">
        <f t="shared" si="20"/>
        <v>0</v>
      </c>
      <c r="K435" s="8">
        <f>IFERROR(INDEX(T_OrdenesTrabajo[En_Filtro],MATCH(B435,T_OrdenesTrabajo[ID_OT],0)),0)</f>
        <v>1</v>
      </c>
    </row>
    <row r="436" spans="1:11" x14ac:dyDescent="0.25">
      <c r="A436" s="8" t="s">
        <v>1599</v>
      </c>
      <c r="B436" s="8" t="s">
        <v>934</v>
      </c>
      <c r="C436" s="8" t="s">
        <v>1164</v>
      </c>
      <c r="D436" s="8" t="s">
        <v>13</v>
      </c>
      <c r="E436" s="8">
        <v>2</v>
      </c>
      <c r="F436" s="10">
        <v>32160</v>
      </c>
      <c r="G436" s="10">
        <v>44370</v>
      </c>
      <c r="H436" s="10">
        <f t="shared" si="18"/>
        <v>64320</v>
      </c>
      <c r="I436" s="10">
        <f t="shared" si="19"/>
        <v>88740</v>
      </c>
      <c r="J436" s="8">
        <f t="shared" si="20"/>
        <v>0</v>
      </c>
      <c r="K436" s="8">
        <f>IFERROR(INDEX(T_OrdenesTrabajo[En_Filtro],MATCH(B436,T_OrdenesTrabajo[ID_OT],0)),0)</f>
        <v>1</v>
      </c>
    </row>
    <row r="437" spans="1:11" x14ac:dyDescent="0.25">
      <c r="A437" s="8" t="s">
        <v>1600</v>
      </c>
      <c r="B437" s="8" t="s">
        <v>934</v>
      </c>
      <c r="C437" s="8" t="s">
        <v>1164</v>
      </c>
      <c r="D437" s="8" t="s">
        <v>54</v>
      </c>
      <c r="E437" s="8">
        <v>2</v>
      </c>
      <c r="F437" s="10">
        <v>95520</v>
      </c>
      <c r="G437" s="10">
        <v>117550</v>
      </c>
      <c r="H437" s="10">
        <f t="shared" si="18"/>
        <v>191040</v>
      </c>
      <c r="I437" s="10">
        <f t="shared" si="19"/>
        <v>235100</v>
      </c>
      <c r="J437" s="8">
        <f t="shared" si="20"/>
        <v>0</v>
      </c>
      <c r="K437" s="8">
        <f>IFERROR(INDEX(T_OrdenesTrabajo[En_Filtro],MATCH(B437,T_OrdenesTrabajo[ID_OT],0)),0)</f>
        <v>1</v>
      </c>
    </row>
    <row r="438" spans="1:11" x14ac:dyDescent="0.25">
      <c r="A438" s="8" t="s">
        <v>1601</v>
      </c>
      <c r="B438" s="8" t="s">
        <v>934</v>
      </c>
      <c r="C438" s="8" t="s">
        <v>1164</v>
      </c>
      <c r="D438" s="8" t="s">
        <v>59</v>
      </c>
      <c r="E438" s="8">
        <v>3</v>
      </c>
      <c r="F438" s="10">
        <v>15320</v>
      </c>
      <c r="G438" s="10">
        <v>22920</v>
      </c>
      <c r="H438" s="10">
        <f t="shared" si="18"/>
        <v>45960</v>
      </c>
      <c r="I438" s="10">
        <f t="shared" si="19"/>
        <v>68760</v>
      </c>
      <c r="J438" s="8">
        <f t="shared" si="20"/>
        <v>0</v>
      </c>
      <c r="K438" s="8">
        <f>IFERROR(INDEX(T_OrdenesTrabajo[En_Filtro],MATCH(B438,T_OrdenesTrabajo[ID_OT],0)),0)</f>
        <v>1</v>
      </c>
    </row>
    <row r="439" spans="1:11" x14ac:dyDescent="0.25">
      <c r="A439" s="8" t="s">
        <v>1602</v>
      </c>
      <c r="B439" s="8" t="s">
        <v>934</v>
      </c>
      <c r="C439" s="8" t="s">
        <v>1167</v>
      </c>
      <c r="D439" s="8" t="s">
        <v>219</v>
      </c>
      <c r="E439" s="8">
        <v>13</v>
      </c>
      <c r="F439" s="10"/>
      <c r="G439" s="10">
        <v>22800</v>
      </c>
      <c r="H439" s="10" t="str">
        <f t="shared" si="18"/>
        <v/>
      </c>
      <c r="I439" s="10">
        <f t="shared" si="19"/>
        <v>296400</v>
      </c>
      <c r="J439" s="8">
        <f t="shared" si="20"/>
        <v>1</v>
      </c>
      <c r="K439" s="8">
        <f>IFERROR(INDEX(T_OrdenesTrabajo[En_Filtro],MATCH(B439,T_OrdenesTrabajo[ID_OT],0)),0)</f>
        <v>1</v>
      </c>
    </row>
    <row r="440" spans="1:11" x14ac:dyDescent="0.25">
      <c r="A440" s="8" t="s">
        <v>1603</v>
      </c>
      <c r="B440" s="8" t="s">
        <v>934</v>
      </c>
      <c r="C440" s="8" t="s">
        <v>1167</v>
      </c>
      <c r="D440" s="8" t="s">
        <v>217</v>
      </c>
      <c r="E440" s="8">
        <v>4</v>
      </c>
      <c r="F440" s="10">
        <v>11600</v>
      </c>
      <c r="G440" s="10">
        <v>22100</v>
      </c>
      <c r="H440" s="10">
        <f t="shared" si="18"/>
        <v>46400</v>
      </c>
      <c r="I440" s="10">
        <f t="shared" si="19"/>
        <v>88400</v>
      </c>
      <c r="J440" s="8">
        <f t="shared" si="20"/>
        <v>0</v>
      </c>
      <c r="K440" s="8">
        <f>IFERROR(INDEX(T_OrdenesTrabajo[En_Filtro],MATCH(B440,T_OrdenesTrabajo[ID_OT],0)),0)</f>
        <v>1</v>
      </c>
    </row>
    <row r="441" spans="1:11" x14ac:dyDescent="0.25">
      <c r="A441" s="8" t="s">
        <v>1604</v>
      </c>
      <c r="B441" s="8" t="s">
        <v>939</v>
      </c>
      <c r="C441" s="8" t="s">
        <v>1164</v>
      </c>
      <c r="D441" s="8" t="s">
        <v>33</v>
      </c>
      <c r="E441" s="8">
        <v>2</v>
      </c>
      <c r="F441" s="10">
        <v>208980</v>
      </c>
      <c r="G441" s="10">
        <v>312420</v>
      </c>
      <c r="H441" s="10">
        <f t="shared" si="18"/>
        <v>417960</v>
      </c>
      <c r="I441" s="10">
        <f t="shared" si="19"/>
        <v>624840</v>
      </c>
      <c r="J441" s="8">
        <f t="shared" si="20"/>
        <v>0</v>
      </c>
      <c r="K441" s="8">
        <f>IFERROR(INDEX(T_OrdenesTrabajo[En_Filtro],MATCH(B441,T_OrdenesTrabajo[ID_OT],0)),0)</f>
        <v>1</v>
      </c>
    </row>
    <row r="442" spans="1:11" x14ac:dyDescent="0.25">
      <c r="A442" s="8" t="s">
        <v>1605</v>
      </c>
      <c r="B442" s="8" t="s">
        <v>939</v>
      </c>
      <c r="C442" s="8" t="s">
        <v>1164</v>
      </c>
      <c r="D442" s="8" t="s">
        <v>47</v>
      </c>
      <c r="E442" s="8">
        <v>2</v>
      </c>
      <c r="F442" s="10">
        <v>9760</v>
      </c>
      <c r="G442" s="10">
        <v>11590</v>
      </c>
      <c r="H442" s="10">
        <f t="shared" si="18"/>
        <v>19520</v>
      </c>
      <c r="I442" s="10">
        <f t="shared" si="19"/>
        <v>23180</v>
      </c>
      <c r="J442" s="8">
        <f t="shared" si="20"/>
        <v>0</v>
      </c>
      <c r="K442" s="8">
        <f>IFERROR(INDEX(T_OrdenesTrabajo[En_Filtro],MATCH(B442,T_OrdenesTrabajo[ID_OT],0)),0)</f>
        <v>1</v>
      </c>
    </row>
    <row r="443" spans="1:11" x14ac:dyDescent="0.25">
      <c r="A443" s="8" t="s">
        <v>1606</v>
      </c>
      <c r="B443" s="8" t="s">
        <v>939</v>
      </c>
      <c r="C443" s="8" t="s">
        <v>1167</v>
      </c>
      <c r="D443" s="8" t="s">
        <v>226</v>
      </c>
      <c r="E443" s="8">
        <v>11</v>
      </c>
      <c r="F443" s="10">
        <v>14300</v>
      </c>
      <c r="G443" s="10">
        <v>25800</v>
      </c>
      <c r="H443" s="10">
        <f t="shared" si="18"/>
        <v>157300</v>
      </c>
      <c r="I443" s="10">
        <f t="shared" si="19"/>
        <v>283800</v>
      </c>
      <c r="J443" s="8">
        <f t="shared" si="20"/>
        <v>0</v>
      </c>
      <c r="K443" s="8">
        <f>IFERROR(INDEX(T_OrdenesTrabajo[En_Filtro],MATCH(B443,T_OrdenesTrabajo[ID_OT],0)),0)</f>
        <v>1</v>
      </c>
    </row>
    <row r="444" spans="1:11" x14ac:dyDescent="0.25">
      <c r="A444" s="8" t="s">
        <v>1607</v>
      </c>
      <c r="B444" s="8" t="s">
        <v>939</v>
      </c>
      <c r="C444" s="8" t="s">
        <v>1167</v>
      </c>
      <c r="D444" s="8" t="s">
        <v>226</v>
      </c>
      <c r="E444" s="8">
        <v>27</v>
      </c>
      <c r="F444" s="10">
        <v>13900</v>
      </c>
      <c r="G444" s="10">
        <v>26400</v>
      </c>
      <c r="H444" s="10">
        <f t="shared" si="18"/>
        <v>375300</v>
      </c>
      <c r="I444" s="10">
        <f t="shared" si="19"/>
        <v>712800</v>
      </c>
      <c r="J444" s="8">
        <f t="shared" si="20"/>
        <v>0</v>
      </c>
      <c r="K444" s="8">
        <f>IFERROR(INDEX(T_OrdenesTrabajo[En_Filtro],MATCH(B444,T_OrdenesTrabajo[ID_OT],0)),0)</f>
        <v>1</v>
      </c>
    </row>
    <row r="445" spans="1:11" x14ac:dyDescent="0.25">
      <c r="A445" s="8" t="s">
        <v>1608</v>
      </c>
      <c r="B445" s="8" t="s">
        <v>944</v>
      </c>
      <c r="C445" s="8" t="s">
        <v>1164</v>
      </c>
      <c r="D445" s="8" t="s">
        <v>15</v>
      </c>
      <c r="E445" s="8">
        <v>3</v>
      </c>
      <c r="F445" s="10">
        <v>23660</v>
      </c>
      <c r="G445" s="10">
        <v>33400</v>
      </c>
      <c r="H445" s="10">
        <f t="shared" si="18"/>
        <v>70980</v>
      </c>
      <c r="I445" s="10">
        <f t="shared" si="19"/>
        <v>100200</v>
      </c>
      <c r="J445" s="8">
        <f t="shared" si="20"/>
        <v>0</v>
      </c>
      <c r="K445" s="8">
        <f>IFERROR(INDEX(T_OrdenesTrabajo[En_Filtro],MATCH(B445,T_OrdenesTrabajo[ID_OT],0)),0)</f>
        <v>1</v>
      </c>
    </row>
    <row r="446" spans="1:11" x14ac:dyDescent="0.25">
      <c r="A446" s="8" t="s">
        <v>1609</v>
      </c>
      <c r="B446" s="8" t="s">
        <v>944</v>
      </c>
      <c r="C446" s="8" t="s">
        <v>1167</v>
      </c>
      <c r="D446" s="8" t="s">
        <v>214</v>
      </c>
      <c r="E446" s="8">
        <v>5</v>
      </c>
      <c r="F446" s="10">
        <v>12300</v>
      </c>
      <c r="G446" s="10">
        <v>24000</v>
      </c>
      <c r="H446" s="10">
        <f t="shared" si="18"/>
        <v>61500</v>
      </c>
      <c r="I446" s="10">
        <f t="shared" si="19"/>
        <v>120000</v>
      </c>
      <c r="J446" s="8">
        <f t="shared" si="20"/>
        <v>0</v>
      </c>
      <c r="K446" s="8">
        <f>IFERROR(INDEX(T_OrdenesTrabajo[En_Filtro],MATCH(B446,T_OrdenesTrabajo[ID_OT],0)),0)</f>
        <v>1</v>
      </c>
    </row>
    <row r="447" spans="1:11" x14ac:dyDescent="0.25">
      <c r="A447" s="8" t="s">
        <v>1610</v>
      </c>
      <c r="B447" s="8" t="s">
        <v>944</v>
      </c>
      <c r="C447" s="8" t="s">
        <v>1167</v>
      </c>
      <c r="D447" s="8" t="s">
        <v>231</v>
      </c>
      <c r="E447" s="8">
        <v>4</v>
      </c>
      <c r="F447" s="10">
        <v>14800</v>
      </c>
      <c r="G447" s="10">
        <v>26600</v>
      </c>
      <c r="H447" s="10">
        <f t="shared" si="18"/>
        <v>59200</v>
      </c>
      <c r="I447" s="10">
        <f t="shared" si="19"/>
        <v>106400</v>
      </c>
      <c r="J447" s="8">
        <f t="shared" si="20"/>
        <v>0</v>
      </c>
      <c r="K447" s="8">
        <f>IFERROR(INDEX(T_OrdenesTrabajo[En_Filtro],MATCH(B447,T_OrdenesTrabajo[ID_OT],0)),0)</f>
        <v>1</v>
      </c>
    </row>
    <row r="448" spans="1:11" x14ac:dyDescent="0.25">
      <c r="A448" s="8" t="s">
        <v>1611</v>
      </c>
      <c r="B448" s="8" t="s">
        <v>949</v>
      </c>
      <c r="C448" s="8" t="s">
        <v>1164</v>
      </c>
      <c r="D448" s="8" t="s">
        <v>31</v>
      </c>
      <c r="E448" s="8">
        <v>1</v>
      </c>
      <c r="F448" s="10">
        <v>32810</v>
      </c>
      <c r="G448" s="10">
        <v>48430</v>
      </c>
      <c r="H448" s="10">
        <f t="shared" si="18"/>
        <v>32810</v>
      </c>
      <c r="I448" s="10">
        <f t="shared" si="19"/>
        <v>48430</v>
      </c>
      <c r="J448" s="8">
        <f t="shared" si="20"/>
        <v>0</v>
      </c>
      <c r="K448" s="8">
        <f>IFERROR(INDEX(T_OrdenesTrabajo[En_Filtro],MATCH(B448,T_OrdenesTrabajo[ID_OT],0)),0)</f>
        <v>1</v>
      </c>
    </row>
    <row r="449" spans="1:11" x14ac:dyDescent="0.25">
      <c r="A449" s="8" t="s">
        <v>1612</v>
      </c>
      <c r="B449" s="8" t="s">
        <v>949</v>
      </c>
      <c r="C449" s="8" t="s">
        <v>1167</v>
      </c>
      <c r="D449" s="8" t="s">
        <v>226</v>
      </c>
      <c r="E449" s="8">
        <v>9</v>
      </c>
      <c r="F449" s="10">
        <v>14900</v>
      </c>
      <c r="G449" s="10">
        <v>23100</v>
      </c>
      <c r="H449" s="10">
        <f t="shared" si="18"/>
        <v>134100</v>
      </c>
      <c r="I449" s="10">
        <f t="shared" si="19"/>
        <v>207900</v>
      </c>
      <c r="J449" s="8">
        <f t="shared" si="20"/>
        <v>0</v>
      </c>
      <c r="K449" s="8">
        <f>IFERROR(INDEX(T_OrdenesTrabajo[En_Filtro],MATCH(B449,T_OrdenesTrabajo[ID_OT],0)),0)</f>
        <v>1</v>
      </c>
    </row>
    <row r="450" spans="1:11" x14ac:dyDescent="0.25">
      <c r="A450" s="8" t="s">
        <v>1613</v>
      </c>
      <c r="B450" s="8" t="s">
        <v>949</v>
      </c>
      <c r="C450" s="8" t="s">
        <v>1167</v>
      </c>
      <c r="D450" s="8" t="s">
        <v>221</v>
      </c>
      <c r="E450" s="8">
        <v>29</v>
      </c>
      <c r="F450" s="10">
        <v>13800</v>
      </c>
      <c r="G450" s="10">
        <v>26800</v>
      </c>
      <c r="H450" s="10">
        <f t="shared" ref="H450:H513" si="21">IF(OR(ISBLANK(F450),NOT(ISNUMBER(F450))),"",E450*F450)</f>
        <v>400200</v>
      </c>
      <c r="I450" s="10">
        <f t="shared" ref="I450:I513" si="22">IF(OR(ISBLANK(G450),NOT(ISNUMBER(G450))),"",E450*G450)</f>
        <v>777200</v>
      </c>
      <c r="J450" s="8">
        <f t="shared" ref="J450:J513" si="23">IF(AND(ISNUMBER(F450),ISNUMBER(G450)),0,1)</f>
        <v>0</v>
      </c>
      <c r="K450" s="8">
        <f>IFERROR(INDEX(T_OrdenesTrabajo[En_Filtro],MATCH(B450,T_OrdenesTrabajo[ID_OT],0)),0)</f>
        <v>1</v>
      </c>
    </row>
    <row r="451" spans="1:11" x14ac:dyDescent="0.25">
      <c r="A451" s="8" t="s">
        <v>1614</v>
      </c>
      <c r="B451" s="8" t="s">
        <v>953</v>
      </c>
      <c r="C451" s="8" t="s">
        <v>1164</v>
      </c>
      <c r="D451" s="8" t="s">
        <v>50</v>
      </c>
      <c r="E451" s="8">
        <v>2</v>
      </c>
      <c r="F451" s="10">
        <v>279080</v>
      </c>
      <c r="G451" s="10">
        <v>244740</v>
      </c>
      <c r="H451" s="10">
        <f t="shared" si="21"/>
        <v>558160</v>
      </c>
      <c r="I451" s="10">
        <f t="shared" si="22"/>
        <v>489480</v>
      </c>
      <c r="J451" s="8">
        <f t="shared" si="23"/>
        <v>0</v>
      </c>
      <c r="K451" s="8">
        <f>IFERROR(INDEX(T_OrdenesTrabajo[En_Filtro],MATCH(B451,T_OrdenesTrabajo[ID_OT],0)),0)</f>
        <v>1</v>
      </c>
    </row>
    <row r="452" spans="1:11" x14ac:dyDescent="0.25">
      <c r="A452" s="8" t="s">
        <v>1615</v>
      </c>
      <c r="B452" s="8" t="s">
        <v>953</v>
      </c>
      <c r="C452" s="8" t="s">
        <v>1164</v>
      </c>
      <c r="D452" s="8" t="s">
        <v>45</v>
      </c>
      <c r="E452" s="8">
        <v>12</v>
      </c>
      <c r="F452" s="10">
        <v>26420</v>
      </c>
      <c r="G452" s="10">
        <v>27210</v>
      </c>
      <c r="H452" s="10">
        <f t="shared" si="21"/>
        <v>317040</v>
      </c>
      <c r="I452" s="10">
        <f t="shared" si="22"/>
        <v>326520</v>
      </c>
      <c r="J452" s="8">
        <f t="shared" si="23"/>
        <v>0</v>
      </c>
      <c r="K452" s="8">
        <f>IFERROR(INDEX(T_OrdenesTrabajo[En_Filtro],MATCH(B452,T_OrdenesTrabajo[ID_OT],0)),0)</f>
        <v>1</v>
      </c>
    </row>
    <row r="453" spans="1:11" x14ac:dyDescent="0.25">
      <c r="A453" s="8" t="s">
        <v>1616</v>
      </c>
      <c r="B453" s="8" t="s">
        <v>953</v>
      </c>
      <c r="C453" s="8" t="s">
        <v>1167</v>
      </c>
      <c r="D453" s="8" t="s">
        <v>224</v>
      </c>
      <c r="E453" s="8">
        <v>26</v>
      </c>
      <c r="F453" s="10">
        <v>13600</v>
      </c>
      <c r="G453" s="10">
        <v>16800</v>
      </c>
      <c r="H453" s="10">
        <f t="shared" si="21"/>
        <v>353600</v>
      </c>
      <c r="I453" s="10">
        <f t="shared" si="22"/>
        <v>436800</v>
      </c>
      <c r="J453" s="8">
        <f t="shared" si="23"/>
        <v>0</v>
      </c>
      <c r="K453" s="8">
        <f>IFERROR(INDEX(T_OrdenesTrabajo[En_Filtro],MATCH(B453,T_OrdenesTrabajo[ID_OT],0)),0)</f>
        <v>1</v>
      </c>
    </row>
    <row r="454" spans="1:11" x14ac:dyDescent="0.25">
      <c r="A454" s="8" t="s">
        <v>1617</v>
      </c>
      <c r="B454" s="8" t="s">
        <v>953</v>
      </c>
      <c r="C454" s="8" t="s">
        <v>1167</v>
      </c>
      <c r="D454" s="8" t="s">
        <v>226</v>
      </c>
      <c r="E454" s="8">
        <v>14</v>
      </c>
      <c r="F454" s="10">
        <v>13900</v>
      </c>
      <c r="G454" s="10">
        <v>17900</v>
      </c>
      <c r="H454" s="10">
        <f t="shared" si="21"/>
        <v>194600</v>
      </c>
      <c r="I454" s="10">
        <f t="shared" si="22"/>
        <v>250600</v>
      </c>
      <c r="J454" s="8">
        <f t="shared" si="23"/>
        <v>0</v>
      </c>
      <c r="K454" s="8">
        <f>IFERROR(INDEX(T_OrdenesTrabajo[En_Filtro],MATCH(B454,T_OrdenesTrabajo[ID_OT],0)),0)</f>
        <v>1</v>
      </c>
    </row>
    <row r="455" spans="1:11" x14ac:dyDescent="0.25">
      <c r="A455" s="8" t="s">
        <v>1618</v>
      </c>
      <c r="B455" s="8" t="s">
        <v>958</v>
      </c>
      <c r="C455" s="8" t="s">
        <v>1164</v>
      </c>
      <c r="D455" s="8" t="s">
        <v>50</v>
      </c>
      <c r="E455" s="8">
        <v>2</v>
      </c>
      <c r="F455" s="10">
        <v>292400</v>
      </c>
      <c r="G455" s="10">
        <v>412740</v>
      </c>
      <c r="H455" s="10">
        <f t="shared" si="21"/>
        <v>584800</v>
      </c>
      <c r="I455" s="10">
        <f t="shared" si="22"/>
        <v>825480</v>
      </c>
      <c r="J455" s="8">
        <f t="shared" si="23"/>
        <v>0</v>
      </c>
      <c r="K455" s="8">
        <f>IFERROR(INDEX(T_OrdenesTrabajo[En_Filtro],MATCH(B455,T_OrdenesTrabajo[ID_OT],0)),0)</f>
        <v>1</v>
      </c>
    </row>
    <row r="456" spans="1:11" x14ac:dyDescent="0.25">
      <c r="A456" s="8" t="s">
        <v>1619</v>
      </c>
      <c r="B456" s="8" t="s">
        <v>958</v>
      </c>
      <c r="C456" s="8" t="s">
        <v>1167</v>
      </c>
      <c r="D456" s="8" t="s">
        <v>226</v>
      </c>
      <c r="E456" s="8">
        <v>17</v>
      </c>
      <c r="F456" s="10">
        <v>12100</v>
      </c>
      <c r="G456" s="10">
        <v>25100</v>
      </c>
      <c r="H456" s="10">
        <f t="shared" si="21"/>
        <v>205700</v>
      </c>
      <c r="I456" s="10">
        <f t="shared" si="22"/>
        <v>426700</v>
      </c>
      <c r="J456" s="8">
        <f t="shared" si="23"/>
        <v>0</v>
      </c>
      <c r="K456" s="8">
        <f>IFERROR(INDEX(T_OrdenesTrabajo[En_Filtro],MATCH(B456,T_OrdenesTrabajo[ID_OT],0)),0)</f>
        <v>1</v>
      </c>
    </row>
    <row r="457" spans="1:11" x14ac:dyDescent="0.25">
      <c r="A457" s="8" t="s">
        <v>1620</v>
      </c>
      <c r="B457" s="8" t="s">
        <v>958</v>
      </c>
      <c r="C457" s="8" t="s">
        <v>1167</v>
      </c>
      <c r="D457" s="8" t="s">
        <v>217</v>
      </c>
      <c r="E457" s="8">
        <v>8</v>
      </c>
      <c r="F457" s="10">
        <v>11000</v>
      </c>
      <c r="G457" s="10">
        <v>21400</v>
      </c>
      <c r="H457" s="10">
        <f t="shared" si="21"/>
        <v>88000</v>
      </c>
      <c r="I457" s="10">
        <f t="shared" si="22"/>
        <v>171200</v>
      </c>
      <c r="J457" s="8">
        <f t="shared" si="23"/>
        <v>0</v>
      </c>
      <c r="K457" s="8">
        <f>IFERROR(INDEX(T_OrdenesTrabajo[En_Filtro],MATCH(B457,T_OrdenesTrabajo[ID_OT],0)),0)</f>
        <v>1</v>
      </c>
    </row>
    <row r="458" spans="1:11" x14ac:dyDescent="0.25">
      <c r="A458" s="8" t="s">
        <v>1621</v>
      </c>
      <c r="B458" s="8" t="s">
        <v>963</v>
      </c>
      <c r="C458" s="8" t="s">
        <v>1164</v>
      </c>
      <c r="D458" s="8" t="s">
        <v>50</v>
      </c>
      <c r="E458" s="8">
        <v>2</v>
      </c>
      <c r="F458" s="10">
        <v>264030</v>
      </c>
      <c r="G458" s="10">
        <v>312090</v>
      </c>
      <c r="H458" s="10">
        <f t="shared" si="21"/>
        <v>528060</v>
      </c>
      <c r="I458" s="10">
        <f t="shared" si="22"/>
        <v>624180</v>
      </c>
      <c r="J458" s="8">
        <f t="shared" si="23"/>
        <v>0</v>
      </c>
      <c r="K458" s="8">
        <f>IFERROR(INDEX(T_OrdenesTrabajo[En_Filtro],MATCH(B458,T_OrdenesTrabajo[ID_OT],0)),0)</f>
        <v>1</v>
      </c>
    </row>
    <row r="459" spans="1:11" x14ac:dyDescent="0.25">
      <c r="A459" s="8" t="s">
        <v>1622</v>
      </c>
      <c r="B459" s="8" t="s">
        <v>963</v>
      </c>
      <c r="C459" s="8" t="s">
        <v>1167</v>
      </c>
      <c r="D459" s="8" t="s">
        <v>214</v>
      </c>
      <c r="E459" s="8">
        <v>17</v>
      </c>
      <c r="F459" s="10">
        <v>11800</v>
      </c>
      <c r="G459" s="10">
        <v>23600</v>
      </c>
      <c r="H459" s="10">
        <f t="shared" si="21"/>
        <v>200600</v>
      </c>
      <c r="I459" s="10">
        <f t="shared" si="22"/>
        <v>401200</v>
      </c>
      <c r="J459" s="8">
        <f t="shared" si="23"/>
        <v>0</v>
      </c>
      <c r="K459" s="8">
        <f>IFERROR(INDEX(T_OrdenesTrabajo[En_Filtro],MATCH(B459,T_OrdenesTrabajo[ID_OT],0)),0)</f>
        <v>1</v>
      </c>
    </row>
    <row r="460" spans="1:11" x14ac:dyDescent="0.25">
      <c r="A460" s="8" t="s">
        <v>1623</v>
      </c>
      <c r="B460" s="8" t="s">
        <v>968</v>
      </c>
      <c r="C460" s="8" t="s">
        <v>1164</v>
      </c>
      <c r="D460" s="8" t="s">
        <v>59</v>
      </c>
      <c r="E460" s="8">
        <v>2</v>
      </c>
      <c r="F460" s="10">
        <v>14620</v>
      </c>
      <c r="G460" s="10">
        <v>14400</v>
      </c>
      <c r="H460" s="10">
        <f t="shared" si="21"/>
        <v>29240</v>
      </c>
      <c r="I460" s="10">
        <f t="shared" si="22"/>
        <v>28800</v>
      </c>
      <c r="J460" s="8">
        <f t="shared" si="23"/>
        <v>0</v>
      </c>
      <c r="K460" s="8">
        <f>IFERROR(INDEX(T_OrdenesTrabajo[En_Filtro],MATCH(B460,T_OrdenesTrabajo[ID_OT],0)),0)</f>
        <v>1</v>
      </c>
    </row>
    <row r="461" spans="1:11" x14ac:dyDescent="0.25">
      <c r="A461" s="8" t="s">
        <v>1624</v>
      </c>
      <c r="B461" s="8" t="s">
        <v>968</v>
      </c>
      <c r="C461" s="8" t="s">
        <v>1164</v>
      </c>
      <c r="D461" s="8" t="s">
        <v>22</v>
      </c>
      <c r="E461" s="8">
        <v>24</v>
      </c>
      <c r="F461" s="10">
        <v>4320</v>
      </c>
      <c r="G461" s="10"/>
      <c r="H461" s="10">
        <f t="shared" si="21"/>
        <v>103680</v>
      </c>
      <c r="I461" s="10" t="str">
        <f t="shared" si="22"/>
        <v/>
      </c>
      <c r="J461" s="8">
        <f t="shared" si="23"/>
        <v>1</v>
      </c>
      <c r="K461" s="8">
        <f>IFERROR(INDEX(T_OrdenesTrabajo[En_Filtro],MATCH(B461,T_OrdenesTrabajo[ID_OT],0)),0)</f>
        <v>1</v>
      </c>
    </row>
    <row r="462" spans="1:11" x14ac:dyDescent="0.25">
      <c r="A462" s="8" t="s">
        <v>1625</v>
      </c>
      <c r="B462" s="8" t="s">
        <v>968</v>
      </c>
      <c r="C462" s="8" t="s">
        <v>1164</v>
      </c>
      <c r="D462" s="8" t="s">
        <v>61</v>
      </c>
      <c r="E462" s="8">
        <v>4</v>
      </c>
      <c r="F462" s="10">
        <v>73320</v>
      </c>
      <c r="G462" s="10">
        <v>79270</v>
      </c>
      <c r="H462" s="10">
        <f t="shared" si="21"/>
        <v>293280</v>
      </c>
      <c r="I462" s="10">
        <f t="shared" si="22"/>
        <v>317080</v>
      </c>
      <c r="J462" s="8">
        <f t="shared" si="23"/>
        <v>0</v>
      </c>
      <c r="K462" s="8">
        <f>IFERROR(INDEX(T_OrdenesTrabajo[En_Filtro],MATCH(B462,T_OrdenesTrabajo[ID_OT],0)),0)</f>
        <v>1</v>
      </c>
    </row>
    <row r="463" spans="1:11" x14ac:dyDescent="0.25">
      <c r="A463" s="8" t="s">
        <v>1626</v>
      </c>
      <c r="B463" s="8" t="s">
        <v>968</v>
      </c>
      <c r="C463" s="8" t="s">
        <v>1167</v>
      </c>
      <c r="D463" s="8" t="s">
        <v>228</v>
      </c>
      <c r="E463" s="8">
        <v>9</v>
      </c>
      <c r="F463" s="10">
        <v>15600</v>
      </c>
      <c r="G463" s="10">
        <v>18900</v>
      </c>
      <c r="H463" s="10">
        <f t="shared" si="21"/>
        <v>140400</v>
      </c>
      <c r="I463" s="10">
        <f t="shared" si="22"/>
        <v>170100</v>
      </c>
      <c r="J463" s="8">
        <f t="shared" si="23"/>
        <v>0</v>
      </c>
      <c r="K463" s="8">
        <f>IFERROR(INDEX(T_OrdenesTrabajo[En_Filtro],MATCH(B463,T_OrdenesTrabajo[ID_OT],0)),0)</f>
        <v>1</v>
      </c>
    </row>
    <row r="464" spans="1:11" x14ac:dyDescent="0.25">
      <c r="A464" s="8" t="s">
        <v>1627</v>
      </c>
      <c r="B464" s="8" t="s">
        <v>968</v>
      </c>
      <c r="C464" s="8" t="s">
        <v>1167</v>
      </c>
      <c r="D464" s="8" t="s">
        <v>228</v>
      </c>
      <c r="E464" s="8">
        <v>5</v>
      </c>
      <c r="F464" s="10">
        <v>15000</v>
      </c>
      <c r="G464" s="10">
        <v>19700</v>
      </c>
      <c r="H464" s="10">
        <f t="shared" si="21"/>
        <v>75000</v>
      </c>
      <c r="I464" s="10">
        <f t="shared" si="22"/>
        <v>98500</v>
      </c>
      <c r="J464" s="8">
        <f t="shared" si="23"/>
        <v>0</v>
      </c>
      <c r="K464" s="8">
        <f>IFERROR(INDEX(T_OrdenesTrabajo[En_Filtro],MATCH(B464,T_OrdenesTrabajo[ID_OT],0)),0)</f>
        <v>1</v>
      </c>
    </row>
    <row r="465" spans="1:11" x14ac:dyDescent="0.25">
      <c r="A465" s="8" t="s">
        <v>1628</v>
      </c>
      <c r="B465" s="8" t="s">
        <v>973</v>
      </c>
      <c r="C465" s="8" t="s">
        <v>1164</v>
      </c>
      <c r="D465" s="8" t="s">
        <v>50</v>
      </c>
      <c r="E465" s="8">
        <v>2</v>
      </c>
      <c r="F465" s="10">
        <v>272180</v>
      </c>
      <c r="G465" s="10">
        <v>342470</v>
      </c>
      <c r="H465" s="10">
        <f t="shared" si="21"/>
        <v>544360</v>
      </c>
      <c r="I465" s="10">
        <f t="shared" si="22"/>
        <v>684940</v>
      </c>
      <c r="J465" s="8">
        <f t="shared" si="23"/>
        <v>0</v>
      </c>
      <c r="K465" s="8">
        <f>IFERROR(INDEX(T_OrdenesTrabajo[En_Filtro],MATCH(B465,T_OrdenesTrabajo[ID_OT],0)),0)</f>
        <v>1</v>
      </c>
    </row>
    <row r="466" spans="1:11" x14ac:dyDescent="0.25">
      <c r="A466" s="8" t="s">
        <v>1629</v>
      </c>
      <c r="B466" s="8" t="s">
        <v>973</v>
      </c>
      <c r="C466" s="8" t="s">
        <v>1164</v>
      </c>
      <c r="D466" s="8" t="s">
        <v>47</v>
      </c>
      <c r="E466" s="8">
        <v>2</v>
      </c>
      <c r="F466" s="10">
        <v>9500</v>
      </c>
      <c r="G466" s="10">
        <v>12760</v>
      </c>
      <c r="H466" s="10">
        <f t="shared" si="21"/>
        <v>19000</v>
      </c>
      <c r="I466" s="10">
        <f t="shared" si="22"/>
        <v>25520</v>
      </c>
      <c r="J466" s="8">
        <f t="shared" si="23"/>
        <v>0</v>
      </c>
      <c r="K466" s="8">
        <f>IFERROR(INDEX(T_OrdenesTrabajo[En_Filtro],MATCH(B466,T_OrdenesTrabajo[ID_OT],0)),0)</f>
        <v>1</v>
      </c>
    </row>
    <row r="467" spans="1:11" x14ac:dyDescent="0.25">
      <c r="A467" s="8" t="s">
        <v>1630</v>
      </c>
      <c r="B467" s="8" t="s">
        <v>973</v>
      </c>
      <c r="C467" s="8" t="s">
        <v>1167</v>
      </c>
      <c r="D467" s="8" t="s">
        <v>224</v>
      </c>
      <c r="E467" s="8">
        <v>25</v>
      </c>
      <c r="F467" s="10">
        <v>13200</v>
      </c>
      <c r="G467" s="10">
        <v>23500</v>
      </c>
      <c r="H467" s="10">
        <f t="shared" si="21"/>
        <v>330000</v>
      </c>
      <c r="I467" s="10">
        <f t="shared" si="22"/>
        <v>587500</v>
      </c>
      <c r="J467" s="8">
        <f t="shared" si="23"/>
        <v>0</v>
      </c>
      <c r="K467" s="8">
        <f>IFERROR(INDEX(T_OrdenesTrabajo[En_Filtro],MATCH(B467,T_OrdenesTrabajo[ID_OT],0)),0)</f>
        <v>1</v>
      </c>
    </row>
    <row r="468" spans="1:11" x14ac:dyDescent="0.25">
      <c r="A468" s="8" t="s">
        <v>1631</v>
      </c>
      <c r="B468" s="8" t="s">
        <v>978</v>
      </c>
      <c r="C468" s="8" t="s">
        <v>1164</v>
      </c>
      <c r="D468" s="8" t="s">
        <v>63</v>
      </c>
      <c r="E468" s="8">
        <v>2</v>
      </c>
      <c r="F468" s="10">
        <v>62140</v>
      </c>
      <c r="G468" s="10">
        <v>88670</v>
      </c>
      <c r="H468" s="10">
        <f t="shared" si="21"/>
        <v>124280</v>
      </c>
      <c r="I468" s="10">
        <f t="shared" si="22"/>
        <v>177340</v>
      </c>
      <c r="J468" s="8">
        <f t="shared" si="23"/>
        <v>0</v>
      </c>
      <c r="K468" s="8">
        <f>IFERROR(INDEX(T_OrdenesTrabajo[En_Filtro],MATCH(B468,T_OrdenesTrabajo[ID_OT],0)),0)</f>
        <v>1</v>
      </c>
    </row>
    <row r="469" spans="1:11" x14ac:dyDescent="0.25">
      <c r="A469" s="8" t="s">
        <v>1632</v>
      </c>
      <c r="B469" s="8" t="s">
        <v>978</v>
      </c>
      <c r="C469" s="8" t="s">
        <v>1164</v>
      </c>
      <c r="D469" s="8" t="s">
        <v>13</v>
      </c>
      <c r="E469" s="8">
        <v>3</v>
      </c>
      <c r="F469" s="10">
        <v>31890</v>
      </c>
      <c r="G469" s="10">
        <v>47740</v>
      </c>
      <c r="H469" s="10">
        <f t="shared" si="21"/>
        <v>95670</v>
      </c>
      <c r="I469" s="10">
        <f t="shared" si="22"/>
        <v>143220</v>
      </c>
      <c r="J469" s="8">
        <f t="shared" si="23"/>
        <v>0</v>
      </c>
      <c r="K469" s="8">
        <f>IFERROR(INDEX(T_OrdenesTrabajo[En_Filtro],MATCH(B469,T_OrdenesTrabajo[ID_OT],0)),0)</f>
        <v>1</v>
      </c>
    </row>
    <row r="470" spans="1:11" x14ac:dyDescent="0.25">
      <c r="A470" s="8" t="s">
        <v>1633</v>
      </c>
      <c r="B470" s="8" t="s">
        <v>978</v>
      </c>
      <c r="C470" s="8" t="s">
        <v>1164</v>
      </c>
      <c r="D470" s="8" t="s">
        <v>15</v>
      </c>
      <c r="E470" s="8">
        <v>1</v>
      </c>
      <c r="F470" s="10">
        <v>22810</v>
      </c>
      <c r="G470" s="10">
        <v>31730</v>
      </c>
      <c r="H470" s="10">
        <f t="shared" si="21"/>
        <v>22810</v>
      </c>
      <c r="I470" s="10">
        <f t="shared" si="22"/>
        <v>31730</v>
      </c>
      <c r="J470" s="8">
        <f t="shared" si="23"/>
        <v>0</v>
      </c>
      <c r="K470" s="8">
        <f>IFERROR(INDEX(T_OrdenesTrabajo[En_Filtro],MATCH(B470,T_OrdenesTrabajo[ID_OT],0)),0)</f>
        <v>1</v>
      </c>
    </row>
    <row r="471" spans="1:11" x14ac:dyDescent="0.25">
      <c r="A471" s="8" t="s">
        <v>1634</v>
      </c>
      <c r="B471" s="8" t="s">
        <v>978</v>
      </c>
      <c r="C471" s="8" t="s">
        <v>1167</v>
      </c>
      <c r="D471" s="8" t="s">
        <v>219</v>
      </c>
      <c r="E471" s="8">
        <v>6</v>
      </c>
      <c r="F471" s="10">
        <v>13600</v>
      </c>
      <c r="G471" s="10">
        <v>21600</v>
      </c>
      <c r="H471" s="10">
        <f t="shared" si="21"/>
        <v>81600</v>
      </c>
      <c r="I471" s="10">
        <f t="shared" si="22"/>
        <v>129600</v>
      </c>
      <c r="J471" s="8">
        <f t="shared" si="23"/>
        <v>0</v>
      </c>
      <c r="K471" s="8">
        <f>IFERROR(INDEX(T_OrdenesTrabajo[En_Filtro],MATCH(B471,T_OrdenesTrabajo[ID_OT],0)),0)</f>
        <v>1</v>
      </c>
    </row>
    <row r="472" spans="1:11" x14ac:dyDescent="0.25">
      <c r="A472" s="8" t="s">
        <v>1635</v>
      </c>
      <c r="B472" s="8" t="s">
        <v>983</v>
      </c>
      <c r="C472" s="8" t="s">
        <v>1164</v>
      </c>
      <c r="D472" s="8" t="s">
        <v>57</v>
      </c>
      <c r="E472" s="8">
        <v>3</v>
      </c>
      <c r="F472" s="10">
        <v>115590</v>
      </c>
      <c r="G472" s="10">
        <v>91020</v>
      </c>
      <c r="H472" s="10">
        <f t="shared" si="21"/>
        <v>346770</v>
      </c>
      <c r="I472" s="10">
        <f t="shared" si="22"/>
        <v>273060</v>
      </c>
      <c r="J472" s="8">
        <f t="shared" si="23"/>
        <v>0</v>
      </c>
      <c r="K472" s="8">
        <f>IFERROR(INDEX(T_OrdenesTrabajo[En_Filtro],MATCH(B472,T_OrdenesTrabajo[ID_OT],0)),0)</f>
        <v>1</v>
      </c>
    </row>
    <row r="473" spans="1:11" x14ac:dyDescent="0.25">
      <c r="A473" s="8" t="s">
        <v>1636</v>
      </c>
      <c r="B473" s="8" t="s">
        <v>983</v>
      </c>
      <c r="C473" s="8" t="s">
        <v>1164</v>
      </c>
      <c r="D473" s="8" t="s">
        <v>22</v>
      </c>
      <c r="E473" s="8">
        <v>14</v>
      </c>
      <c r="F473" s="10">
        <v>4430</v>
      </c>
      <c r="G473" s="10">
        <v>2850</v>
      </c>
      <c r="H473" s="10">
        <f t="shared" si="21"/>
        <v>62020</v>
      </c>
      <c r="I473" s="10">
        <f t="shared" si="22"/>
        <v>39900</v>
      </c>
      <c r="J473" s="8">
        <f t="shared" si="23"/>
        <v>0</v>
      </c>
      <c r="K473" s="8">
        <f>IFERROR(INDEX(T_OrdenesTrabajo[En_Filtro],MATCH(B473,T_OrdenesTrabajo[ID_OT],0)),0)</f>
        <v>1</v>
      </c>
    </row>
    <row r="474" spans="1:11" x14ac:dyDescent="0.25">
      <c r="A474" s="8" t="s">
        <v>1637</v>
      </c>
      <c r="B474" s="8" t="s">
        <v>983</v>
      </c>
      <c r="C474" s="8" t="s">
        <v>1167</v>
      </c>
      <c r="D474" s="8" t="s">
        <v>214</v>
      </c>
      <c r="E474" s="8">
        <v>2</v>
      </c>
      <c r="F474" s="10">
        <v>11700</v>
      </c>
      <c r="G474" s="10">
        <v>11900</v>
      </c>
      <c r="H474" s="10">
        <f t="shared" si="21"/>
        <v>23400</v>
      </c>
      <c r="I474" s="10">
        <f t="shared" si="22"/>
        <v>23800</v>
      </c>
      <c r="J474" s="8">
        <f t="shared" si="23"/>
        <v>0</v>
      </c>
      <c r="K474" s="8">
        <f>IFERROR(INDEX(T_OrdenesTrabajo[En_Filtro],MATCH(B474,T_OrdenesTrabajo[ID_OT],0)),0)</f>
        <v>1</v>
      </c>
    </row>
    <row r="475" spans="1:11" x14ac:dyDescent="0.25">
      <c r="A475" s="8" t="s">
        <v>1638</v>
      </c>
      <c r="B475" s="8" t="s">
        <v>983</v>
      </c>
      <c r="C475" s="8" t="s">
        <v>1167</v>
      </c>
      <c r="D475" s="8" t="s">
        <v>217</v>
      </c>
      <c r="E475" s="8">
        <v>4</v>
      </c>
      <c r="F475" s="10">
        <v>12100</v>
      </c>
      <c r="G475" s="10">
        <v>13000</v>
      </c>
      <c r="H475" s="10">
        <f t="shared" si="21"/>
        <v>48400</v>
      </c>
      <c r="I475" s="10">
        <f t="shared" si="22"/>
        <v>52000</v>
      </c>
      <c r="J475" s="8">
        <f t="shared" si="23"/>
        <v>0</v>
      </c>
      <c r="K475" s="8">
        <f>IFERROR(INDEX(T_OrdenesTrabajo[En_Filtro],MATCH(B475,T_OrdenesTrabajo[ID_OT],0)),0)</f>
        <v>1</v>
      </c>
    </row>
    <row r="476" spans="1:11" x14ac:dyDescent="0.25">
      <c r="A476" s="8" t="s">
        <v>1639</v>
      </c>
      <c r="B476" s="8" t="s">
        <v>988</v>
      </c>
      <c r="C476" s="8" t="s">
        <v>1164</v>
      </c>
      <c r="D476" s="8" t="s">
        <v>47</v>
      </c>
      <c r="E476" s="8">
        <v>2</v>
      </c>
      <c r="F476" s="10">
        <v>10570</v>
      </c>
      <c r="G476" s="10">
        <v>15320</v>
      </c>
      <c r="H476" s="10">
        <f t="shared" si="21"/>
        <v>21140</v>
      </c>
      <c r="I476" s="10">
        <f t="shared" si="22"/>
        <v>30640</v>
      </c>
      <c r="J476" s="8">
        <f t="shared" si="23"/>
        <v>0</v>
      </c>
      <c r="K476" s="8">
        <f>IFERROR(INDEX(T_OrdenesTrabajo[En_Filtro],MATCH(B476,T_OrdenesTrabajo[ID_OT],0)),0)</f>
        <v>1</v>
      </c>
    </row>
    <row r="477" spans="1:11" x14ac:dyDescent="0.25">
      <c r="A477" s="8" t="s">
        <v>1640</v>
      </c>
      <c r="B477" s="8" t="s">
        <v>988</v>
      </c>
      <c r="C477" s="8" t="s">
        <v>1164</v>
      </c>
      <c r="D477" s="8" t="s">
        <v>24</v>
      </c>
      <c r="E477" s="8">
        <v>2</v>
      </c>
      <c r="F477" s="10">
        <v>424740</v>
      </c>
      <c r="G477" s="10"/>
      <c r="H477" s="10">
        <f t="shared" si="21"/>
        <v>849480</v>
      </c>
      <c r="I477" s="10" t="str">
        <f t="shared" si="22"/>
        <v/>
      </c>
      <c r="J477" s="8">
        <f t="shared" si="23"/>
        <v>1</v>
      </c>
      <c r="K477" s="8">
        <f>IFERROR(INDEX(T_OrdenesTrabajo[En_Filtro],MATCH(B477,T_OrdenesTrabajo[ID_OT],0)),0)</f>
        <v>1</v>
      </c>
    </row>
    <row r="478" spans="1:11" x14ac:dyDescent="0.25">
      <c r="A478" s="8" t="s">
        <v>1641</v>
      </c>
      <c r="B478" s="8" t="s">
        <v>988</v>
      </c>
      <c r="C478" s="8" t="s">
        <v>1164</v>
      </c>
      <c r="D478" s="8" t="s">
        <v>35</v>
      </c>
      <c r="E478" s="8">
        <v>2</v>
      </c>
      <c r="F478" s="10">
        <v>20280</v>
      </c>
      <c r="G478" s="10">
        <v>27940</v>
      </c>
      <c r="H478" s="10">
        <f t="shared" si="21"/>
        <v>40560</v>
      </c>
      <c r="I478" s="10">
        <f t="shared" si="22"/>
        <v>55880</v>
      </c>
      <c r="J478" s="8">
        <f t="shared" si="23"/>
        <v>0</v>
      </c>
      <c r="K478" s="8">
        <f>IFERROR(INDEX(T_OrdenesTrabajo[En_Filtro],MATCH(B478,T_OrdenesTrabajo[ID_OT],0)),0)</f>
        <v>1</v>
      </c>
    </row>
    <row r="479" spans="1:11" x14ac:dyDescent="0.25">
      <c r="A479" s="8" t="s">
        <v>1642</v>
      </c>
      <c r="B479" s="8" t="s">
        <v>988</v>
      </c>
      <c r="C479" s="8" t="s">
        <v>1167</v>
      </c>
      <c r="D479" s="8" t="s">
        <v>221</v>
      </c>
      <c r="E479" s="8">
        <v>8</v>
      </c>
      <c r="F479" s="10">
        <v>12700</v>
      </c>
      <c r="G479" s="10">
        <v>24900</v>
      </c>
      <c r="H479" s="10">
        <f t="shared" si="21"/>
        <v>101600</v>
      </c>
      <c r="I479" s="10">
        <f t="shared" si="22"/>
        <v>199200</v>
      </c>
      <c r="J479" s="8">
        <f t="shared" si="23"/>
        <v>0</v>
      </c>
      <c r="K479" s="8">
        <f>IFERROR(INDEX(T_OrdenesTrabajo[En_Filtro],MATCH(B479,T_OrdenesTrabajo[ID_OT],0)),0)</f>
        <v>1</v>
      </c>
    </row>
    <row r="480" spans="1:11" x14ac:dyDescent="0.25">
      <c r="A480" s="8" t="s">
        <v>1643</v>
      </c>
      <c r="B480" s="8" t="s">
        <v>988</v>
      </c>
      <c r="C480" s="8" t="s">
        <v>1167</v>
      </c>
      <c r="D480" s="8" t="s">
        <v>226</v>
      </c>
      <c r="E480" s="8">
        <v>29</v>
      </c>
      <c r="F480" s="10">
        <v>12100</v>
      </c>
      <c r="G480" s="10">
        <v>24100</v>
      </c>
      <c r="H480" s="10">
        <f t="shared" si="21"/>
        <v>350900</v>
      </c>
      <c r="I480" s="10">
        <f t="shared" si="22"/>
        <v>698900</v>
      </c>
      <c r="J480" s="8">
        <f t="shared" si="23"/>
        <v>0</v>
      </c>
      <c r="K480" s="8">
        <f>IFERROR(INDEX(T_OrdenesTrabajo[En_Filtro],MATCH(B480,T_OrdenesTrabajo[ID_OT],0)),0)</f>
        <v>1</v>
      </c>
    </row>
    <row r="481" spans="1:11" x14ac:dyDescent="0.25">
      <c r="A481" s="8" t="s">
        <v>1644</v>
      </c>
      <c r="B481" s="8" t="s">
        <v>993</v>
      </c>
      <c r="C481" s="8" t="s">
        <v>1164</v>
      </c>
      <c r="D481" s="8" t="s">
        <v>24</v>
      </c>
      <c r="E481" s="8">
        <v>2</v>
      </c>
      <c r="F481" s="10">
        <v>396360</v>
      </c>
      <c r="G481" s="10">
        <v>470850</v>
      </c>
      <c r="H481" s="10">
        <f t="shared" si="21"/>
        <v>792720</v>
      </c>
      <c r="I481" s="10">
        <f t="shared" si="22"/>
        <v>941700</v>
      </c>
      <c r="J481" s="8">
        <f t="shared" si="23"/>
        <v>0</v>
      </c>
      <c r="K481" s="8">
        <f>IFERROR(INDEX(T_OrdenesTrabajo[En_Filtro],MATCH(B481,T_OrdenesTrabajo[ID_OT],0)),0)</f>
        <v>1</v>
      </c>
    </row>
    <row r="482" spans="1:11" x14ac:dyDescent="0.25">
      <c r="A482" s="8" t="s">
        <v>1645</v>
      </c>
      <c r="B482" s="8" t="s">
        <v>993</v>
      </c>
      <c r="C482" s="8" t="s">
        <v>1164</v>
      </c>
      <c r="D482" s="8" t="s">
        <v>45</v>
      </c>
      <c r="E482" s="8">
        <v>24</v>
      </c>
      <c r="F482" s="10">
        <v>24620</v>
      </c>
      <c r="G482" s="10">
        <v>31820</v>
      </c>
      <c r="H482" s="10">
        <f t="shared" si="21"/>
        <v>590880</v>
      </c>
      <c r="I482" s="10">
        <f t="shared" si="22"/>
        <v>763680</v>
      </c>
      <c r="J482" s="8">
        <f t="shared" si="23"/>
        <v>0</v>
      </c>
      <c r="K482" s="8">
        <f>IFERROR(INDEX(T_OrdenesTrabajo[En_Filtro],MATCH(B482,T_OrdenesTrabajo[ID_OT],0)),0)</f>
        <v>1</v>
      </c>
    </row>
    <row r="483" spans="1:11" x14ac:dyDescent="0.25">
      <c r="A483" s="8" t="s">
        <v>1646</v>
      </c>
      <c r="B483" s="8" t="s">
        <v>993</v>
      </c>
      <c r="C483" s="8" t="s">
        <v>1167</v>
      </c>
      <c r="D483" s="8" t="s">
        <v>221</v>
      </c>
      <c r="E483" s="8">
        <v>30</v>
      </c>
      <c r="F483" s="10">
        <v>14700</v>
      </c>
      <c r="G483" s="10">
        <v>24300</v>
      </c>
      <c r="H483" s="10">
        <f t="shared" si="21"/>
        <v>441000</v>
      </c>
      <c r="I483" s="10">
        <f t="shared" si="22"/>
        <v>729000</v>
      </c>
      <c r="J483" s="8">
        <f t="shared" si="23"/>
        <v>0</v>
      </c>
      <c r="K483" s="8">
        <f>IFERROR(INDEX(T_OrdenesTrabajo[En_Filtro],MATCH(B483,T_OrdenesTrabajo[ID_OT],0)),0)</f>
        <v>1</v>
      </c>
    </row>
    <row r="484" spans="1:11" x14ac:dyDescent="0.25">
      <c r="A484" s="8" t="s">
        <v>1647</v>
      </c>
      <c r="B484" s="8" t="s">
        <v>993</v>
      </c>
      <c r="C484" s="8" t="s">
        <v>1167</v>
      </c>
      <c r="D484" s="8" t="s">
        <v>224</v>
      </c>
      <c r="E484" s="8">
        <v>11</v>
      </c>
      <c r="F484" s="10">
        <v>14000</v>
      </c>
      <c r="G484" s="10">
        <v>23200</v>
      </c>
      <c r="H484" s="10">
        <f t="shared" si="21"/>
        <v>154000</v>
      </c>
      <c r="I484" s="10">
        <f t="shared" si="22"/>
        <v>255200</v>
      </c>
      <c r="J484" s="8">
        <f t="shared" si="23"/>
        <v>0</v>
      </c>
      <c r="K484" s="8">
        <f>IFERROR(INDEX(T_OrdenesTrabajo[En_Filtro],MATCH(B484,T_OrdenesTrabajo[ID_OT],0)),0)</f>
        <v>1</v>
      </c>
    </row>
    <row r="485" spans="1:11" x14ac:dyDescent="0.25">
      <c r="A485" s="8" t="s">
        <v>1648</v>
      </c>
      <c r="B485" s="8" t="s">
        <v>998</v>
      </c>
      <c r="C485" s="8" t="s">
        <v>1164</v>
      </c>
      <c r="D485" s="8" t="s">
        <v>9</v>
      </c>
      <c r="E485" s="8">
        <v>2</v>
      </c>
      <c r="F485" s="10">
        <v>14750</v>
      </c>
      <c r="G485" s="10">
        <v>20900</v>
      </c>
      <c r="H485" s="10">
        <f t="shared" si="21"/>
        <v>29500</v>
      </c>
      <c r="I485" s="10">
        <f t="shared" si="22"/>
        <v>41800</v>
      </c>
      <c r="J485" s="8">
        <f t="shared" si="23"/>
        <v>0</v>
      </c>
      <c r="K485" s="8">
        <f>IFERROR(INDEX(T_OrdenesTrabajo[En_Filtro],MATCH(B485,T_OrdenesTrabajo[ID_OT],0)),0)</f>
        <v>1</v>
      </c>
    </row>
    <row r="486" spans="1:11" x14ac:dyDescent="0.25">
      <c r="A486" s="8" t="s">
        <v>1649</v>
      </c>
      <c r="B486" s="8" t="s">
        <v>998</v>
      </c>
      <c r="C486" s="8" t="s">
        <v>1167</v>
      </c>
      <c r="D486" s="8" t="s">
        <v>228</v>
      </c>
      <c r="E486" s="8">
        <v>3</v>
      </c>
      <c r="F486" s="10">
        <v>13200</v>
      </c>
      <c r="G486" s="10">
        <v>30800</v>
      </c>
      <c r="H486" s="10">
        <f t="shared" si="21"/>
        <v>39600</v>
      </c>
      <c r="I486" s="10">
        <f t="shared" si="22"/>
        <v>92400</v>
      </c>
      <c r="J486" s="8">
        <f t="shared" si="23"/>
        <v>0</v>
      </c>
      <c r="K486" s="8">
        <f>IFERROR(INDEX(T_OrdenesTrabajo[En_Filtro],MATCH(B486,T_OrdenesTrabajo[ID_OT],0)),0)</f>
        <v>1</v>
      </c>
    </row>
    <row r="487" spans="1:11" x14ac:dyDescent="0.25">
      <c r="A487" s="8" t="s">
        <v>1650</v>
      </c>
      <c r="B487" s="8" t="s">
        <v>998</v>
      </c>
      <c r="C487" s="8" t="s">
        <v>1167</v>
      </c>
      <c r="D487" s="8" t="s">
        <v>214</v>
      </c>
      <c r="E487" s="8">
        <v>4</v>
      </c>
      <c r="F487" s="10">
        <v>12400</v>
      </c>
      <c r="G487" s="10">
        <v>22900</v>
      </c>
      <c r="H487" s="10">
        <f t="shared" si="21"/>
        <v>49600</v>
      </c>
      <c r="I487" s="10">
        <f t="shared" si="22"/>
        <v>91600</v>
      </c>
      <c r="J487" s="8">
        <f t="shared" si="23"/>
        <v>0</v>
      </c>
      <c r="K487" s="8">
        <f>IFERROR(INDEX(T_OrdenesTrabajo[En_Filtro],MATCH(B487,T_OrdenesTrabajo[ID_OT],0)),0)</f>
        <v>1</v>
      </c>
    </row>
    <row r="488" spans="1:11" x14ac:dyDescent="0.25">
      <c r="A488" s="8" t="s">
        <v>1651</v>
      </c>
      <c r="B488" s="8" t="s">
        <v>1003</v>
      </c>
      <c r="C488" s="8" t="s">
        <v>1164</v>
      </c>
      <c r="D488" s="8" t="s">
        <v>17</v>
      </c>
      <c r="E488" s="8">
        <v>12</v>
      </c>
      <c r="F488" s="10">
        <v>5600</v>
      </c>
      <c r="G488" s="10">
        <v>7430</v>
      </c>
      <c r="H488" s="10">
        <f t="shared" si="21"/>
        <v>67200</v>
      </c>
      <c r="I488" s="10">
        <f t="shared" si="22"/>
        <v>89160</v>
      </c>
      <c r="J488" s="8">
        <f t="shared" si="23"/>
        <v>0</v>
      </c>
      <c r="K488" s="8">
        <f>IFERROR(INDEX(T_OrdenesTrabajo[En_Filtro],MATCH(B488,T_OrdenesTrabajo[ID_OT],0)),0)</f>
        <v>1</v>
      </c>
    </row>
    <row r="489" spans="1:11" x14ac:dyDescent="0.25">
      <c r="A489" s="8" t="s">
        <v>1652</v>
      </c>
      <c r="B489" s="8" t="s">
        <v>1003</v>
      </c>
      <c r="C489" s="8" t="s">
        <v>1167</v>
      </c>
      <c r="D489" s="8" t="s">
        <v>217</v>
      </c>
      <c r="E489" s="8">
        <v>2</v>
      </c>
      <c r="F489" s="10">
        <v>11900</v>
      </c>
      <c r="G489" s="10">
        <v>23700</v>
      </c>
      <c r="H489" s="10">
        <f t="shared" si="21"/>
        <v>23800</v>
      </c>
      <c r="I489" s="10">
        <f t="shared" si="22"/>
        <v>47400</v>
      </c>
      <c r="J489" s="8">
        <f t="shared" si="23"/>
        <v>0</v>
      </c>
      <c r="K489" s="8">
        <f>IFERROR(INDEX(T_OrdenesTrabajo[En_Filtro],MATCH(B489,T_OrdenesTrabajo[ID_OT],0)),0)</f>
        <v>1</v>
      </c>
    </row>
    <row r="490" spans="1:11" x14ac:dyDescent="0.25">
      <c r="A490" s="8" t="s">
        <v>1653</v>
      </c>
      <c r="B490" s="8" t="s">
        <v>1003</v>
      </c>
      <c r="C490" s="8" t="s">
        <v>1167</v>
      </c>
      <c r="D490" s="8" t="s">
        <v>214</v>
      </c>
      <c r="E490" s="8">
        <v>2</v>
      </c>
      <c r="F490" s="10">
        <v>12600</v>
      </c>
      <c r="G490" s="10">
        <v>24900</v>
      </c>
      <c r="H490" s="10">
        <f t="shared" si="21"/>
        <v>25200</v>
      </c>
      <c r="I490" s="10">
        <f t="shared" si="22"/>
        <v>49800</v>
      </c>
      <c r="J490" s="8">
        <f t="shared" si="23"/>
        <v>0</v>
      </c>
      <c r="K490" s="8">
        <f>IFERROR(INDEX(T_OrdenesTrabajo[En_Filtro],MATCH(B490,T_OrdenesTrabajo[ID_OT],0)),0)</f>
        <v>1</v>
      </c>
    </row>
    <row r="491" spans="1:11" x14ac:dyDescent="0.25">
      <c r="A491" s="8" t="s">
        <v>1654</v>
      </c>
      <c r="B491" s="8" t="s">
        <v>1008</v>
      </c>
      <c r="C491" s="8" t="s">
        <v>1164</v>
      </c>
      <c r="D491" s="8" t="s">
        <v>38</v>
      </c>
      <c r="E491" s="8">
        <v>3</v>
      </c>
      <c r="F491" s="10">
        <v>53350</v>
      </c>
      <c r="G491" s="10">
        <v>63360</v>
      </c>
      <c r="H491" s="10">
        <f t="shared" si="21"/>
        <v>160050</v>
      </c>
      <c r="I491" s="10">
        <f t="shared" si="22"/>
        <v>190080</v>
      </c>
      <c r="J491" s="8">
        <f t="shared" si="23"/>
        <v>0</v>
      </c>
      <c r="K491" s="8">
        <f>IFERROR(INDEX(T_OrdenesTrabajo[En_Filtro],MATCH(B491,T_OrdenesTrabajo[ID_OT],0)),0)</f>
        <v>1</v>
      </c>
    </row>
    <row r="492" spans="1:11" x14ac:dyDescent="0.25">
      <c r="A492" s="8" t="s">
        <v>1655</v>
      </c>
      <c r="B492" s="8" t="s">
        <v>1008</v>
      </c>
      <c r="C492" s="8" t="s">
        <v>1164</v>
      </c>
      <c r="D492" s="8" t="s">
        <v>33</v>
      </c>
      <c r="E492" s="8">
        <v>2</v>
      </c>
      <c r="F492" s="10">
        <v>222210</v>
      </c>
      <c r="G492" s="10">
        <v>307070</v>
      </c>
      <c r="H492" s="10">
        <f t="shared" si="21"/>
        <v>444420</v>
      </c>
      <c r="I492" s="10">
        <f t="shared" si="22"/>
        <v>614140</v>
      </c>
      <c r="J492" s="8">
        <f t="shared" si="23"/>
        <v>0</v>
      </c>
      <c r="K492" s="8">
        <f>IFERROR(INDEX(T_OrdenesTrabajo[En_Filtro],MATCH(B492,T_OrdenesTrabajo[ID_OT],0)),0)</f>
        <v>1</v>
      </c>
    </row>
    <row r="493" spans="1:11" x14ac:dyDescent="0.25">
      <c r="A493" s="8" t="s">
        <v>1656</v>
      </c>
      <c r="B493" s="8" t="s">
        <v>1008</v>
      </c>
      <c r="C493" s="8" t="s">
        <v>1167</v>
      </c>
      <c r="D493" s="8" t="s">
        <v>226</v>
      </c>
      <c r="E493" s="8">
        <v>22</v>
      </c>
      <c r="F493" s="10">
        <v>14500</v>
      </c>
      <c r="G493" s="10">
        <v>25900</v>
      </c>
      <c r="H493" s="10">
        <f t="shared" si="21"/>
        <v>319000</v>
      </c>
      <c r="I493" s="10">
        <f t="shared" si="22"/>
        <v>569800</v>
      </c>
      <c r="J493" s="8">
        <f t="shared" si="23"/>
        <v>0</v>
      </c>
      <c r="K493" s="8">
        <f>IFERROR(INDEX(T_OrdenesTrabajo[En_Filtro],MATCH(B493,T_OrdenesTrabajo[ID_OT],0)),0)</f>
        <v>1</v>
      </c>
    </row>
    <row r="494" spans="1:11" x14ac:dyDescent="0.25">
      <c r="A494" s="8" t="s">
        <v>1657</v>
      </c>
      <c r="B494" s="8" t="s">
        <v>1008</v>
      </c>
      <c r="C494" s="8" t="s">
        <v>1167</v>
      </c>
      <c r="D494" s="8" t="s">
        <v>221</v>
      </c>
      <c r="E494" s="8">
        <v>28</v>
      </c>
      <c r="F494" s="10">
        <v>13500</v>
      </c>
      <c r="G494" s="10">
        <v>24400</v>
      </c>
      <c r="H494" s="10">
        <f t="shared" si="21"/>
        <v>378000</v>
      </c>
      <c r="I494" s="10">
        <f t="shared" si="22"/>
        <v>683200</v>
      </c>
      <c r="J494" s="8">
        <f t="shared" si="23"/>
        <v>0</v>
      </c>
      <c r="K494" s="8">
        <f>IFERROR(INDEX(T_OrdenesTrabajo[En_Filtro],MATCH(B494,T_OrdenesTrabajo[ID_OT],0)),0)</f>
        <v>1</v>
      </c>
    </row>
    <row r="495" spans="1:11" x14ac:dyDescent="0.25">
      <c r="A495" s="8" t="s">
        <v>1658</v>
      </c>
      <c r="B495" s="8" t="s">
        <v>1012</v>
      </c>
      <c r="C495" s="8" t="s">
        <v>1164</v>
      </c>
      <c r="D495" s="8" t="s">
        <v>13</v>
      </c>
      <c r="E495" s="8">
        <v>1</v>
      </c>
      <c r="F495" s="10">
        <v>29530</v>
      </c>
      <c r="G495" s="10">
        <v>39830</v>
      </c>
      <c r="H495" s="10">
        <f t="shared" si="21"/>
        <v>29530</v>
      </c>
      <c r="I495" s="10">
        <f t="shared" si="22"/>
        <v>39830</v>
      </c>
      <c r="J495" s="8">
        <f t="shared" si="23"/>
        <v>0</v>
      </c>
      <c r="K495" s="8">
        <f>IFERROR(INDEX(T_OrdenesTrabajo[En_Filtro],MATCH(B495,T_OrdenesTrabajo[ID_OT],0)),0)</f>
        <v>1</v>
      </c>
    </row>
    <row r="496" spans="1:11" x14ac:dyDescent="0.25">
      <c r="A496" s="8" t="s">
        <v>1659</v>
      </c>
      <c r="B496" s="8" t="s">
        <v>1012</v>
      </c>
      <c r="C496" s="8" t="s">
        <v>1164</v>
      </c>
      <c r="D496" s="8" t="s">
        <v>57</v>
      </c>
      <c r="E496" s="8">
        <v>1</v>
      </c>
      <c r="F496" s="10">
        <v>118850</v>
      </c>
      <c r="G496" s="10">
        <v>144890</v>
      </c>
      <c r="H496" s="10">
        <f t="shared" si="21"/>
        <v>118850</v>
      </c>
      <c r="I496" s="10">
        <f t="shared" si="22"/>
        <v>144890</v>
      </c>
      <c r="J496" s="8">
        <f t="shared" si="23"/>
        <v>0</v>
      </c>
      <c r="K496" s="8">
        <f>IFERROR(INDEX(T_OrdenesTrabajo[En_Filtro],MATCH(B496,T_OrdenesTrabajo[ID_OT],0)),0)</f>
        <v>1</v>
      </c>
    </row>
    <row r="497" spans="1:11" x14ac:dyDescent="0.25">
      <c r="A497" s="8" t="s">
        <v>1660</v>
      </c>
      <c r="B497" s="8" t="s">
        <v>1012</v>
      </c>
      <c r="C497" s="8" t="s">
        <v>1164</v>
      </c>
      <c r="D497" s="8" t="s">
        <v>59</v>
      </c>
      <c r="E497" s="8">
        <v>1</v>
      </c>
      <c r="F497" s="10">
        <v>15500</v>
      </c>
      <c r="G497" s="10">
        <v>23130</v>
      </c>
      <c r="H497" s="10">
        <f t="shared" si="21"/>
        <v>15500</v>
      </c>
      <c r="I497" s="10">
        <f t="shared" si="22"/>
        <v>23130</v>
      </c>
      <c r="J497" s="8">
        <f t="shared" si="23"/>
        <v>0</v>
      </c>
      <c r="K497" s="8">
        <f>IFERROR(INDEX(T_OrdenesTrabajo[En_Filtro],MATCH(B497,T_OrdenesTrabajo[ID_OT],0)),0)</f>
        <v>1</v>
      </c>
    </row>
    <row r="498" spans="1:11" x14ac:dyDescent="0.25">
      <c r="A498" s="8" t="s">
        <v>1661</v>
      </c>
      <c r="B498" s="8" t="s">
        <v>1012</v>
      </c>
      <c r="C498" s="8" t="s">
        <v>1167</v>
      </c>
      <c r="D498" s="8" t="s">
        <v>217</v>
      </c>
      <c r="E498" s="8">
        <v>7</v>
      </c>
      <c r="F498" s="10">
        <v>13800</v>
      </c>
      <c r="G498" s="10">
        <v>21500</v>
      </c>
      <c r="H498" s="10">
        <f t="shared" si="21"/>
        <v>96600</v>
      </c>
      <c r="I498" s="10">
        <f t="shared" si="22"/>
        <v>150500</v>
      </c>
      <c r="J498" s="8">
        <f t="shared" si="23"/>
        <v>0</v>
      </c>
      <c r="K498" s="8">
        <f>IFERROR(INDEX(T_OrdenesTrabajo[En_Filtro],MATCH(B498,T_OrdenesTrabajo[ID_OT],0)),0)</f>
        <v>1</v>
      </c>
    </row>
    <row r="499" spans="1:11" x14ac:dyDescent="0.25">
      <c r="A499" s="8" t="s">
        <v>1662</v>
      </c>
      <c r="B499" s="8" t="s">
        <v>1012</v>
      </c>
      <c r="C499" s="8" t="s">
        <v>1167</v>
      </c>
      <c r="D499" s="8" t="s">
        <v>214</v>
      </c>
      <c r="E499" s="8">
        <v>5</v>
      </c>
      <c r="F499" s="10">
        <v>12500</v>
      </c>
      <c r="G499" s="10">
        <v>21900</v>
      </c>
      <c r="H499" s="10">
        <f t="shared" si="21"/>
        <v>62500</v>
      </c>
      <c r="I499" s="10">
        <f t="shared" si="22"/>
        <v>109500</v>
      </c>
      <c r="J499" s="8">
        <f t="shared" si="23"/>
        <v>0</v>
      </c>
      <c r="K499" s="8">
        <f>IFERROR(INDEX(T_OrdenesTrabajo[En_Filtro],MATCH(B499,T_OrdenesTrabajo[ID_OT],0)),0)</f>
        <v>1</v>
      </c>
    </row>
    <row r="500" spans="1:11" x14ac:dyDescent="0.25">
      <c r="A500" s="8" t="s">
        <v>1663</v>
      </c>
      <c r="B500" s="8" t="s">
        <v>1017</v>
      </c>
      <c r="C500" s="8" t="s">
        <v>1164</v>
      </c>
      <c r="D500" s="8" t="s">
        <v>42</v>
      </c>
      <c r="E500" s="8">
        <v>1</v>
      </c>
      <c r="F500" s="10">
        <v>36100</v>
      </c>
      <c r="G500" s="10">
        <v>48350</v>
      </c>
      <c r="H500" s="10">
        <f t="shared" si="21"/>
        <v>36100</v>
      </c>
      <c r="I500" s="10">
        <f t="shared" si="22"/>
        <v>48350</v>
      </c>
      <c r="J500" s="8">
        <f t="shared" si="23"/>
        <v>0</v>
      </c>
      <c r="K500" s="8">
        <f>IFERROR(INDEX(T_OrdenesTrabajo[En_Filtro],MATCH(B500,T_OrdenesTrabajo[ID_OT],0)),0)</f>
        <v>1</v>
      </c>
    </row>
    <row r="501" spans="1:11" x14ac:dyDescent="0.25">
      <c r="A501" s="8" t="s">
        <v>1664</v>
      </c>
      <c r="B501" s="8" t="s">
        <v>1017</v>
      </c>
      <c r="C501" s="8" t="s">
        <v>1164</v>
      </c>
      <c r="D501" s="8" t="s">
        <v>31</v>
      </c>
      <c r="E501" s="8">
        <v>1</v>
      </c>
      <c r="F501" s="10">
        <v>30900</v>
      </c>
      <c r="G501" s="10">
        <v>44020</v>
      </c>
      <c r="H501" s="10">
        <f t="shared" si="21"/>
        <v>30900</v>
      </c>
      <c r="I501" s="10">
        <f t="shared" si="22"/>
        <v>44020</v>
      </c>
      <c r="J501" s="8">
        <f t="shared" si="23"/>
        <v>0</v>
      </c>
      <c r="K501" s="8">
        <f>IFERROR(INDEX(T_OrdenesTrabajo[En_Filtro],MATCH(B501,T_OrdenesTrabajo[ID_OT],0)),0)</f>
        <v>1</v>
      </c>
    </row>
    <row r="502" spans="1:11" x14ac:dyDescent="0.25">
      <c r="A502" s="8" t="s">
        <v>1665</v>
      </c>
      <c r="B502" s="8" t="s">
        <v>1017</v>
      </c>
      <c r="C502" s="8" t="s">
        <v>1164</v>
      </c>
      <c r="D502" s="8" t="s">
        <v>47</v>
      </c>
      <c r="E502" s="8">
        <v>3</v>
      </c>
      <c r="F502" s="10">
        <v>9620</v>
      </c>
      <c r="G502" s="10">
        <v>13900</v>
      </c>
      <c r="H502" s="10">
        <f t="shared" si="21"/>
        <v>28860</v>
      </c>
      <c r="I502" s="10">
        <f t="shared" si="22"/>
        <v>41700</v>
      </c>
      <c r="J502" s="8">
        <f t="shared" si="23"/>
        <v>0</v>
      </c>
      <c r="K502" s="8">
        <f>IFERROR(INDEX(T_OrdenesTrabajo[En_Filtro],MATCH(B502,T_OrdenesTrabajo[ID_OT],0)),0)</f>
        <v>1</v>
      </c>
    </row>
    <row r="503" spans="1:11" x14ac:dyDescent="0.25">
      <c r="A503" s="8" t="s">
        <v>1666</v>
      </c>
      <c r="B503" s="8" t="s">
        <v>1017</v>
      </c>
      <c r="C503" s="8" t="s">
        <v>1167</v>
      </c>
      <c r="D503" s="8" t="s">
        <v>226</v>
      </c>
      <c r="E503" s="8">
        <v>22</v>
      </c>
      <c r="F503" s="10">
        <v>14300</v>
      </c>
      <c r="G503" s="10">
        <v>24700</v>
      </c>
      <c r="H503" s="10">
        <f t="shared" si="21"/>
        <v>314600</v>
      </c>
      <c r="I503" s="10">
        <f t="shared" si="22"/>
        <v>543400</v>
      </c>
      <c r="J503" s="8">
        <f t="shared" si="23"/>
        <v>0</v>
      </c>
      <c r="K503" s="8">
        <f>IFERROR(INDEX(T_OrdenesTrabajo[En_Filtro],MATCH(B503,T_OrdenesTrabajo[ID_OT],0)),0)</f>
        <v>1</v>
      </c>
    </row>
    <row r="504" spans="1:11" x14ac:dyDescent="0.25">
      <c r="A504" s="8" t="s">
        <v>1667</v>
      </c>
      <c r="B504" s="8" t="s">
        <v>1022</v>
      </c>
      <c r="C504" s="8" t="s">
        <v>1164</v>
      </c>
      <c r="D504" s="8" t="s">
        <v>61</v>
      </c>
      <c r="E504" s="8">
        <v>3</v>
      </c>
      <c r="F504" s="10">
        <v>74730</v>
      </c>
      <c r="G504" s="10">
        <v>100070</v>
      </c>
      <c r="H504" s="10">
        <f t="shared" si="21"/>
        <v>224190</v>
      </c>
      <c r="I504" s="10">
        <f t="shared" si="22"/>
        <v>300210</v>
      </c>
      <c r="J504" s="8">
        <f t="shared" si="23"/>
        <v>0</v>
      </c>
      <c r="K504" s="8">
        <f>IFERROR(INDEX(T_OrdenesTrabajo[En_Filtro],MATCH(B504,T_OrdenesTrabajo[ID_OT],0)),0)</f>
        <v>1</v>
      </c>
    </row>
    <row r="505" spans="1:11" x14ac:dyDescent="0.25">
      <c r="A505" s="8" t="s">
        <v>1668</v>
      </c>
      <c r="B505" s="8" t="s">
        <v>1022</v>
      </c>
      <c r="C505" s="8" t="s">
        <v>1164</v>
      </c>
      <c r="D505" s="8" t="s">
        <v>35</v>
      </c>
      <c r="E505" s="8">
        <v>1</v>
      </c>
      <c r="F505" s="10">
        <v>19260</v>
      </c>
      <c r="G505" s="10">
        <v>24140</v>
      </c>
      <c r="H505" s="10">
        <f t="shared" si="21"/>
        <v>19260</v>
      </c>
      <c r="I505" s="10">
        <f t="shared" si="22"/>
        <v>24140</v>
      </c>
      <c r="J505" s="8">
        <f t="shared" si="23"/>
        <v>0</v>
      </c>
      <c r="K505" s="8">
        <f>IFERROR(INDEX(T_OrdenesTrabajo[En_Filtro],MATCH(B505,T_OrdenesTrabajo[ID_OT],0)),0)</f>
        <v>1</v>
      </c>
    </row>
    <row r="506" spans="1:11" x14ac:dyDescent="0.25">
      <c r="A506" s="8" t="s">
        <v>1669</v>
      </c>
      <c r="B506" s="8" t="s">
        <v>1022</v>
      </c>
      <c r="C506" s="8" t="s">
        <v>1167</v>
      </c>
      <c r="D506" s="8" t="s">
        <v>214</v>
      </c>
      <c r="E506" s="8">
        <v>4</v>
      </c>
      <c r="F506" s="10">
        <v>13800</v>
      </c>
      <c r="G506" s="10">
        <v>22700</v>
      </c>
      <c r="H506" s="10">
        <f t="shared" si="21"/>
        <v>55200</v>
      </c>
      <c r="I506" s="10">
        <f t="shared" si="22"/>
        <v>90800</v>
      </c>
      <c r="J506" s="8">
        <f t="shared" si="23"/>
        <v>0</v>
      </c>
      <c r="K506" s="8">
        <f>IFERROR(INDEX(T_OrdenesTrabajo[En_Filtro],MATCH(B506,T_OrdenesTrabajo[ID_OT],0)),0)</f>
        <v>1</v>
      </c>
    </row>
    <row r="507" spans="1:11" x14ac:dyDescent="0.25">
      <c r="A507" s="8" t="s">
        <v>1670</v>
      </c>
      <c r="B507" s="8" t="s">
        <v>1022</v>
      </c>
      <c r="C507" s="8" t="s">
        <v>1167</v>
      </c>
      <c r="D507" s="8" t="s">
        <v>214</v>
      </c>
      <c r="E507" s="8">
        <v>5</v>
      </c>
      <c r="F507" s="10">
        <v>12300</v>
      </c>
      <c r="G507" s="10">
        <v>22400</v>
      </c>
      <c r="H507" s="10">
        <f t="shared" si="21"/>
        <v>61500</v>
      </c>
      <c r="I507" s="10">
        <f t="shared" si="22"/>
        <v>112000</v>
      </c>
      <c r="J507" s="8">
        <f t="shared" si="23"/>
        <v>0</v>
      </c>
      <c r="K507" s="8">
        <f>IFERROR(INDEX(T_OrdenesTrabajo[En_Filtro],MATCH(B507,T_OrdenesTrabajo[ID_OT],0)),0)</f>
        <v>1</v>
      </c>
    </row>
    <row r="508" spans="1:11" x14ac:dyDescent="0.25">
      <c r="A508" s="8" t="s">
        <v>1671</v>
      </c>
      <c r="B508" s="8" t="s">
        <v>1027</v>
      </c>
      <c r="C508" s="8" t="s">
        <v>1164</v>
      </c>
      <c r="D508" s="8" t="s">
        <v>22</v>
      </c>
      <c r="E508" s="8">
        <v>16</v>
      </c>
      <c r="F508" s="10">
        <v>4210</v>
      </c>
      <c r="G508" s="10">
        <v>5180</v>
      </c>
      <c r="H508" s="10">
        <f t="shared" si="21"/>
        <v>67360</v>
      </c>
      <c r="I508" s="10">
        <f t="shared" si="22"/>
        <v>82880</v>
      </c>
      <c r="J508" s="8">
        <f t="shared" si="23"/>
        <v>0</v>
      </c>
      <c r="K508" s="8">
        <f>IFERROR(INDEX(T_OrdenesTrabajo[En_Filtro],MATCH(B508,T_OrdenesTrabajo[ID_OT],0)),0)</f>
        <v>1</v>
      </c>
    </row>
    <row r="509" spans="1:11" x14ac:dyDescent="0.25">
      <c r="A509" s="8" t="s">
        <v>1672</v>
      </c>
      <c r="B509" s="8" t="s">
        <v>1027</v>
      </c>
      <c r="C509" s="8" t="s">
        <v>1167</v>
      </c>
      <c r="D509" s="8" t="s">
        <v>217</v>
      </c>
      <c r="E509" s="8">
        <v>14</v>
      </c>
      <c r="F509" s="10">
        <v>13600</v>
      </c>
      <c r="G509" s="10">
        <v>23400</v>
      </c>
      <c r="H509" s="10">
        <f t="shared" si="21"/>
        <v>190400</v>
      </c>
      <c r="I509" s="10">
        <f t="shared" si="22"/>
        <v>327600</v>
      </c>
      <c r="J509" s="8">
        <f t="shared" si="23"/>
        <v>0</v>
      </c>
      <c r="K509" s="8">
        <f>IFERROR(INDEX(T_OrdenesTrabajo[En_Filtro],MATCH(B509,T_OrdenesTrabajo[ID_OT],0)),0)</f>
        <v>1</v>
      </c>
    </row>
    <row r="510" spans="1:11" x14ac:dyDescent="0.25">
      <c r="A510" s="8" t="s">
        <v>1673</v>
      </c>
      <c r="B510" s="8" t="s">
        <v>1032</v>
      </c>
      <c r="C510" s="8" t="s">
        <v>1164</v>
      </c>
      <c r="D510" s="8" t="s">
        <v>17</v>
      </c>
      <c r="E510" s="8">
        <v>14</v>
      </c>
      <c r="F510" s="10">
        <v>5710</v>
      </c>
      <c r="G510" s="10">
        <v>7830</v>
      </c>
      <c r="H510" s="10">
        <f t="shared" si="21"/>
        <v>79940</v>
      </c>
      <c r="I510" s="10">
        <f t="shared" si="22"/>
        <v>109620</v>
      </c>
      <c r="J510" s="8">
        <f t="shared" si="23"/>
        <v>0</v>
      </c>
      <c r="K510" s="8">
        <f>IFERROR(INDEX(T_OrdenesTrabajo[En_Filtro],MATCH(B510,T_OrdenesTrabajo[ID_OT],0)),0)</f>
        <v>1</v>
      </c>
    </row>
    <row r="511" spans="1:11" x14ac:dyDescent="0.25">
      <c r="A511" s="8" t="s">
        <v>1674</v>
      </c>
      <c r="B511" s="8" t="s">
        <v>1032</v>
      </c>
      <c r="C511" s="8" t="s">
        <v>1167</v>
      </c>
      <c r="D511" s="8" t="s">
        <v>219</v>
      </c>
      <c r="E511" s="8">
        <v>3</v>
      </c>
      <c r="F511" s="10">
        <v>13400</v>
      </c>
      <c r="G511" s="10">
        <v>23700</v>
      </c>
      <c r="H511" s="10">
        <f t="shared" si="21"/>
        <v>40200</v>
      </c>
      <c r="I511" s="10">
        <f t="shared" si="22"/>
        <v>71100</v>
      </c>
      <c r="J511" s="8">
        <f t="shared" si="23"/>
        <v>0</v>
      </c>
      <c r="K511" s="8">
        <f>IFERROR(INDEX(T_OrdenesTrabajo[En_Filtro],MATCH(B511,T_OrdenesTrabajo[ID_OT],0)),0)</f>
        <v>1</v>
      </c>
    </row>
    <row r="512" spans="1:11" x14ac:dyDescent="0.25">
      <c r="A512" s="8" t="s">
        <v>1675</v>
      </c>
      <c r="B512" s="8" t="s">
        <v>1037</v>
      </c>
      <c r="C512" s="8" t="s">
        <v>1164</v>
      </c>
      <c r="D512" s="8" t="s">
        <v>9</v>
      </c>
      <c r="E512" s="8">
        <v>1</v>
      </c>
      <c r="F512" s="10">
        <v>16170</v>
      </c>
      <c r="G512" s="10">
        <v>21660</v>
      </c>
      <c r="H512" s="10">
        <f t="shared" si="21"/>
        <v>16170</v>
      </c>
      <c r="I512" s="10">
        <f t="shared" si="22"/>
        <v>21660</v>
      </c>
      <c r="J512" s="8">
        <f t="shared" si="23"/>
        <v>0</v>
      </c>
      <c r="K512" s="8">
        <f>IFERROR(INDEX(T_OrdenesTrabajo[En_Filtro],MATCH(B512,T_OrdenesTrabajo[ID_OT],0)),0)</f>
        <v>1</v>
      </c>
    </row>
    <row r="513" spans="1:11" x14ac:dyDescent="0.25">
      <c r="A513" s="8" t="s">
        <v>1676</v>
      </c>
      <c r="B513" s="8" t="s">
        <v>1037</v>
      </c>
      <c r="C513" s="8" t="s">
        <v>1164</v>
      </c>
      <c r="D513" s="8" t="s">
        <v>17</v>
      </c>
      <c r="E513" s="8">
        <v>12</v>
      </c>
      <c r="F513" s="10">
        <v>5440</v>
      </c>
      <c r="G513" s="10">
        <v>8040</v>
      </c>
      <c r="H513" s="10">
        <f t="shared" si="21"/>
        <v>65280</v>
      </c>
      <c r="I513" s="10">
        <f t="shared" si="22"/>
        <v>96480</v>
      </c>
      <c r="J513" s="8">
        <f t="shared" si="23"/>
        <v>0</v>
      </c>
      <c r="K513" s="8">
        <f>IFERROR(INDEX(T_OrdenesTrabajo[En_Filtro],MATCH(B513,T_OrdenesTrabajo[ID_OT],0)),0)</f>
        <v>1</v>
      </c>
    </row>
    <row r="514" spans="1:11" x14ac:dyDescent="0.25">
      <c r="A514" s="8" t="s">
        <v>1677</v>
      </c>
      <c r="B514" s="8" t="s">
        <v>1037</v>
      </c>
      <c r="C514" s="8" t="s">
        <v>1167</v>
      </c>
      <c r="D514" s="8" t="s">
        <v>231</v>
      </c>
      <c r="E514" s="8">
        <v>12</v>
      </c>
      <c r="F514" s="10">
        <v>13800</v>
      </c>
      <c r="G514" s="10">
        <v>26300</v>
      </c>
      <c r="H514" s="10">
        <f t="shared" ref="H514:H577" si="24">IF(OR(ISBLANK(F514),NOT(ISNUMBER(F514))),"",E514*F514)</f>
        <v>165600</v>
      </c>
      <c r="I514" s="10">
        <f t="shared" ref="I514:I577" si="25">IF(OR(ISBLANK(G514),NOT(ISNUMBER(G514))),"",E514*G514)</f>
        <v>315600</v>
      </c>
      <c r="J514" s="8">
        <f t="shared" ref="J514:J577" si="26">IF(AND(ISNUMBER(F514),ISNUMBER(G514)),0,1)</f>
        <v>0</v>
      </c>
      <c r="K514" s="8">
        <f>IFERROR(INDEX(T_OrdenesTrabajo[En_Filtro],MATCH(B514,T_OrdenesTrabajo[ID_OT],0)),0)</f>
        <v>1</v>
      </c>
    </row>
    <row r="515" spans="1:11" x14ac:dyDescent="0.25">
      <c r="A515" s="8" t="s">
        <v>1678</v>
      </c>
      <c r="B515" s="8" t="s">
        <v>1042</v>
      </c>
      <c r="C515" s="8" t="s">
        <v>1164</v>
      </c>
      <c r="D515" s="8" t="s">
        <v>22</v>
      </c>
      <c r="E515" s="8">
        <v>10</v>
      </c>
      <c r="F515" s="10">
        <v>4440</v>
      </c>
      <c r="G515" s="10">
        <v>6160</v>
      </c>
      <c r="H515" s="10">
        <f t="shared" si="24"/>
        <v>44400</v>
      </c>
      <c r="I515" s="10">
        <f t="shared" si="25"/>
        <v>61600</v>
      </c>
      <c r="J515" s="8">
        <f t="shared" si="26"/>
        <v>0</v>
      </c>
      <c r="K515" s="8">
        <f>IFERROR(INDEX(T_OrdenesTrabajo[En_Filtro],MATCH(B515,T_OrdenesTrabajo[ID_OT],0)),0)</f>
        <v>1</v>
      </c>
    </row>
    <row r="516" spans="1:11" x14ac:dyDescent="0.25">
      <c r="A516" s="8" t="s">
        <v>1679</v>
      </c>
      <c r="B516" s="8" t="s">
        <v>1042</v>
      </c>
      <c r="C516" s="8" t="s">
        <v>1164</v>
      </c>
      <c r="D516" s="8" t="s">
        <v>65</v>
      </c>
      <c r="E516" s="8">
        <v>3</v>
      </c>
      <c r="F516" s="10">
        <v>23130</v>
      </c>
      <c r="G516" s="10">
        <v>34300</v>
      </c>
      <c r="H516" s="10">
        <f t="shared" si="24"/>
        <v>69390</v>
      </c>
      <c r="I516" s="10">
        <f t="shared" si="25"/>
        <v>102900</v>
      </c>
      <c r="J516" s="8">
        <f t="shared" si="26"/>
        <v>0</v>
      </c>
      <c r="K516" s="8">
        <f>IFERROR(INDEX(T_OrdenesTrabajo[En_Filtro],MATCH(B516,T_OrdenesTrabajo[ID_OT],0)),0)</f>
        <v>1</v>
      </c>
    </row>
    <row r="517" spans="1:11" x14ac:dyDescent="0.25">
      <c r="A517" s="8" t="s">
        <v>1680</v>
      </c>
      <c r="B517" s="8" t="s">
        <v>1042</v>
      </c>
      <c r="C517" s="8" t="s">
        <v>1167</v>
      </c>
      <c r="D517" s="8" t="s">
        <v>228</v>
      </c>
      <c r="E517" s="8">
        <v>5</v>
      </c>
      <c r="F517" s="10">
        <v>14300</v>
      </c>
      <c r="G517" s="10">
        <v>27200</v>
      </c>
      <c r="H517" s="10">
        <f t="shared" si="24"/>
        <v>71500</v>
      </c>
      <c r="I517" s="10">
        <f t="shared" si="25"/>
        <v>136000</v>
      </c>
      <c r="J517" s="8">
        <f t="shared" si="26"/>
        <v>0</v>
      </c>
      <c r="K517" s="8">
        <f>IFERROR(INDEX(T_OrdenesTrabajo[En_Filtro],MATCH(B517,T_OrdenesTrabajo[ID_OT],0)),0)</f>
        <v>1</v>
      </c>
    </row>
    <row r="518" spans="1:11" x14ac:dyDescent="0.25">
      <c r="A518" s="8" t="s">
        <v>1681</v>
      </c>
      <c r="B518" s="8" t="s">
        <v>1047</v>
      </c>
      <c r="C518" s="8" t="s">
        <v>1164</v>
      </c>
      <c r="D518" s="8" t="s">
        <v>27</v>
      </c>
      <c r="E518" s="8">
        <v>2</v>
      </c>
      <c r="F518" s="10">
        <v>105270</v>
      </c>
      <c r="G518" s="10">
        <v>148530</v>
      </c>
      <c r="H518" s="10">
        <f t="shared" si="24"/>
        <v>210540</v>
      </c>
      <c r="I518" s="10">
        <f t="shared" si="25"/>
        <v>297060</v>
      </c>
      <c r="J518" s="8">
        <f t="shared" si="26"/>
        <v>0</v>
      </c>
      <c r="K518" s="8">
        <f>IFERROR(INDEX(T_OrdenesTrabajo[En_Filtro],MATCH(B518,T_OrdenesTrabajo[ID_OT],0)),0)</f>
        <v>1</v>
      </c>
    </row>
    <row r="519" spans="1:11" x14ac:dyDescent="0.25">
      <c r="A519" s="8" t="s">
        <v>1682</v>
      </c>
      <c r="B519" s="8" t="s">
        <v>1047</v>
      </c>
      <c r="C519" s="8" t="s">
        <v>1164</v>
      </c>
      <c r="D519" s="8" t="s">
        <v>57</v>
      </c>
      <c r="E519" s="8">
        <v>1</v>
      </c>
      <c r="F519" s="10">
        <v>114740</v>
      </c>
      <c r="G519" s="10">
        <v>136480</v>
      </c>
      <c r="H519" s="10">
        <f t="shared" si="24"/>
        <v>114740</v>
      </c>
      <c r="I519" s="10">
        <f t="shared" si="25"/>
        <v>136480</v>
      </c>
      <c r="J519" s="8">
        <f t="shared" si="26"/>
        <v>0</v>
      </c>
      <c r="K519" s="8">
        <f>IFERROR(INDEX(T_OrdenesTrabajo[En_Filtro],MATCH(B519,T_OrdenesTrabajo[ID_OT],0)),0)</f>
        <v>1</v>
      </c>
    </row>
    <row r="520" spans="1:11" x14ac:dyDescent="0.25">
      <c r="A520" s="8" t="s">
        <v>1683</v>
      </c>
      <c r="B520" s="8" t="s">
        <v>1047</v>
      </c>
      <c r="C520" s="8" t="s">
        <v>1167</v>
      </c>
      <c r="D520" s="8" t="s">
        <v>214</v>
      </c>
      <c r="E520" s="8">
        <v>14</v>
      </c>
      <c r="F520" s="10">
        <v>11500</v>
      </c>
      <c r="G520" s="10">
        <v>21900</v>
      </c>
      <c r="H520" s="10">
        <f t="shared" si="24"/>
        <v>161000</v>
      </c>
      <c r="I520" s="10">
        <f t="shared" si="25"/>
        <v>306600</v>
      </c>
      <c r="J520" s="8">
        <f t="shared" si="26"/>
        <v>0</v>
      </c>
      <c r="K520" s="8">
        <f>IFERROR(INDEX(T_OrdenesTrabajo[En_Filtro],MATCH(B520,T_OrdenesTrabajo[ID_OT],0)),0)</f>
        <v>1</v>
      </c>
    </row>
    <row r="521" spans="1:11" x14ac:dyDescent="0.25">
      <c r="A521" s="8" t="s">
        <v>1684</v>
      </c>
      <c r="B521" s="8" t="s">
        <v>1052</v>
      </c>
      <c r="C521" s="8" t="s">
        <v>1164</v>
      </c>
      <c r="D521" s="8" t="s">
        <v>38</v>
      </c>
      <c r="E521" s="8">
        <v>3</v>
      </c>
      <c r="F521" s="10">
        <v>54030</v>
      </c>
      <c r="G521" s="10">
        <v>67100</v>
      </c>
      <c r="H521" s="10">
        <f t="shared" si="24"/>
        <v>162090</v>
      </c>
      <c r="I521" s="10">
        <f t="shared" si="25"/>
        <v>201300</v>
      </c>
      <c r="J521" s="8">
        <f t="shared" si="26"/>
        <v>0</v>
      </c>
      <c r="K521" s="8">
        <f>IFERROR(INDEX(T_OrdenesTrabajo[En_Filtro],MATCH(B521,T_OrdenesTrabajo[ID_OT],0)),0)</f>
        <v>1</v>
      </c>
    </row>
    <row r="522" spans="1:11" x14ac:dyDescent="0.25">
      <c r="A522" s="8" t="s">
        <v>1685</v>
      </c>
      <c r="B522" s="8" t="s">
        <v>1052</v>
      </c>
      <c r="C522" s="8" t="s">
        <v>1167</v>
      </c>
      <c r="D522" s="8" t="s">
        <v>217</v>
      </c>
      <c r="E522" s="8">
        <v>21</v>
      </c>
      <c r="F522" s="10">
        <v>13700</v>
      </c>
      <c r="G522" s="10">
        <v>22700</v>
      </c>
      <c r="H522" s="10">
        <f t="shared" si="24"/>
        <v>287700</v>
      </c>
      <c r="I522" s="10">
        <f t="shared" si="25"/>
        <v>476700</v>
      </c>
      <c r="J522" s="8">
        <f t="shared" si="26"/>
        <v>0</v>
      </c>
      <c r="K522" s="8">
        <f>IFERROR(INDEX(T_OrdenesTrabajo[En_Filtro],MATCH(B522,T_OrdenesTrabajo[ID_OT],0)),0)</f>
        <v>1</v>
      </c>
    </row>
    <row r="523" spans="1:11" x14ac:dyDescent="0.25">
      <c r="A523" s="8" t="s">
        <v>1686</v>
      </c>
      <c r="B523" s="8" t="s">
        <v>1057</v>
      </c>
      <c r="C523" s="8" t="s">
        <v>1164</v>
      </c>
      <c r="D523" s="8" t="s">
        <v>50</v>
      </c>
      <c r="E523" s="8">
        <v>2</v>
      </c>
      <c r="F523" s="10">
        <v>286930</v>
      </c>
      <c r="G523" s="10">
        <v>394870</v>
      </c>
      <c r="H523" s="10">
        <f t="shared" si="24"/>
        <v>573860</v>
      </c>
      <c r="I523" s="10">
        <f t="shared" si="25"/>
        <v>789740</v>
      </c>
      <c r="J523" s="8">
        <f t="shared" si="26"/>
        <v>0</v>
      </c>
      <c r="K523" s="8">
        <f>IFERROR(INDEX(T_OrdenesTrabajo[En_Filtro],MATCH(B523,T_OrdenesTrabajo[ID_OT],0)),0)</f>
        <v>1</v>
      </c>
    </row>
    <row r="524" spans="1:11" x14ac:dyDescent="0.25">
      <c r="A524" s="8" t="s">
        <v>1687</v>
      </c>
      <c r="B524" s="8" t="s">
        <v>1057</v>
      </c>
      <c r="C524" s="8" t="s">
        <v>1164</v>
      </c>
      <c r="D524" s="8" t="s">
        <v>38</v>
      </c>
      <c r="E524" s="8">
        <v>1</v>
      </c>
      <c r="F524" s="10">
        <v>56620</v>
      </c>
      <c r="G524" s="10">
        <v>76240</v>
      </c>
      <c r="H524" s="10">
        <f t="shared" si="24"/>
        <v>56620</v>
      </c>
      <c r="I524" s="10">
        <f t="shared" si="25"/>
        <v>76240</v>
      </c>
      <c r="J524" s="8">
        <f t="shared" si="26"/>
        <v>0</v>
      </c>
      <c r="K524" s="8">
        <f>IFERROR(INDEX(T_OrdenesTrabajo[En_Filtro],MATCH(B524,T_OrdenesTrabajo[ID_OT],0)),0)</f>
        <v>1</v>
      </c>
    </row>
    <row r="525" spans="1:11" x14ac:dyDescent="0.25">
      <c r="A525" s="8" t="s">
        <v>1688</v>
      </c>
      <c r="B525" s="8" t="s">
        <v>1057</v>
      </c>
      <c r="C525" s="8" t="s">
        <v>1167</v>
      </c>
      <c r="D525" s="8" t="s">
        <v>226</v>
      </c>
      <c r="E525" s="8">
        <v>10</v>
      </c>
      <c r="F525" s="10">
        <v>13700</v>
      </c>
      <c r="G525" s="10">
        <v>24100</v>
      </c>
      <c r="H525" s="10">
        <f t="shared" si="24"/>
        <v>137000</v>
      </c>
      <c r="I525" s="10">
        <f t="shared" si="25"/>
        <v>241000</v>
      </c>
      <c r="J525" s="8">
        <f t="shared" si="26"/>
        <v>0</v>
      </c>
      <c r="K525" s="8">
        <f>IFERROR(INDEX(T_OrdenesTrabajo[En_Filtro],MATCH(B525,T_OrdenesTrabajo[ID_OT],0)),0)</f>
        <v>1</v>
      </c>
    </row>
    <row r="526" spans="1:11" x14ac:dyDescent="0.25">
      <c r="A526" s="8" t="s">
        <v>1689</v>
      </c>
      <c r="B526" s="8" t="s">
        <v>1061</v>
      </c>
      <c r="C526" s="8" t="s">
        <v>1164</v>
      </c>
      <c r="D526" s="8" t="s">
        <v>13</v>
      </c>
      <c r="E526" s="8">
        <v>1</v>
      </c>
      <c r="F526" s="10">
        <v>29540</v>
      </c>
      <c r="G526" s="10">
        <v>38370</v>
      </c>
      <c r="H526" s="10">
        <f t="shared" si="24"/>
        <v>29540</v>
      </c>
      <c r="I526" s="10">
        <f t="shared" si="25"/>
        <v>38370</v>
      </c>
      <c r="J526" s="8">
        <f t="shared" si="26"/>
        <v>0</v>
      </c>
      <c r="K526" s="8">
        <f>IFERROR(INDEX(T_OrdenesTrabajo[En_Filtro],MATCH(B526,T_OrdenesTrabajo[ID_OT],0)),0)</f>
        <v>1</v>
      </c>
    </row>
    <row r="527" spans="1:11" x14ac:dyDescent="0.25">
      <c r="A527" s="8" t="s">
        <v>1690</v>
      </c>
      <c r="B527" s="8" t="s">
        <v>1061</v>
      </c>
      <c r="C527" s="8" t="s">
        <v>1164</v>
      </c>
      <c r="D527" s="8" t="s">
        <v>15</v>
      </c>
      <c r="E527" s="8">
        <v>2</v>
      </c>
      <c r="F527" s="10">
        <v>23520</v>
      </c>
      <c r="G527" s="10">
        <v>31560</v>
      </c>
      <c r="H527" s="10">
        <f t="shared" si="24"/>
        <v>47040</v>
      </c>
      <c r="I527" s="10">
        <f t="shared" si="25"/>
        <v>63120</v>
      </c>
      <c r="J527" s="8">
        <f t="shared" si="26"/>
        <v>0</v>
      </c>
      <c r="K527" s="8">
        <f>IFERROR(INDEX(T_OrdenesTrabajo[En_Filtro],MATCH(B527,T_OrdenesTrabajo[ID_OT],0)),0)</f>
        <v>1</v>
      </c>
    </row>
    <row r="528" spans="1:11" x14ac:dyDescent="0.25">
      <c r="A528" s="8" t="s">
        <v>1691</v>
      </c>
      <c r="B528" s="8" t="s">
        <v>1061</v>
      </c>
      <c r="C528" s="8" t="s">
        <v>1164</v>
      </c>
      <c r="D528" s="8" t="s">
        <v>59</v>
      </c>
      <c r="E528" s="8">
        <v>2</v>
      </c>
      <c r="F528" s="10">
        <v>15700</v>
      </c>
      <c r="G528" s="10">
        <v>20120</v>
      </c>
      <c r="H528" s="10">
        <f t="shared" si="24"/>
        <v>31400</v>
      </c>
      <c r="I528" s="10">
        <f t="shared" si="25"/>
        <v>40240</v>
      </c>
      <c r="J528" s="8">
        <f t="shared" si="26"/>
        <v>0</v>
      </c>
      <c r="K528" s="8">
        <f>IFERROR(INDEX(T_OrdenesTrabajo[En_Filtro],MATCH(B528,T_OrdenesTrabajo[ID_OT],0)),0)</f>
        <v>1</v>
      </c>
    </row>
    <row r="529" spans="1:11" x14ac:dyDescent="0.25">
      <c r="A529" s="8" t="s">
        <v>1692</v>
      </c>
      <c r="B529" s="8" t="s">
        <v>1061</v>
      </c>
      <c r="C529" s="8" t="s">
        <v>1167</v>
      </c>
      <c r="D529" s="8" t="s">
        <v>228</v>
      </c>
      <c r="E529" s="8">
        <v>4</v>
      </c>
      <c r="F529" s="10">
        <v>15500</v>
      </c>
      <c r="G529" s="10">
        <v>27500</v>
      </c>
      <c r="H529" s="10">
        <f t="shared" si="24"/>
        <v>62000</v>
      </c>
      <c r="I529" s="10">
        <f t="shared" si="25"/>
        <v>110000</v>
      </c>
      <c r="J529" s="8">
        <f t="shared" si="26"/>
        <v>0</v>
      </c>
      <c r="K529" s="8">
        <f>IFERROR(INDEX(T_OrdenesTrabajo[En_Filtro],MATCH(B529,T_OrdenesTrabajo[ID_OT],0)),0)</f>
        <v>1</v>
      </c>
    </row>
    <row r="530" spans="1:11" x14ac:dyDescent="0.25">
      <c r="A530" s="8" t="s">
        <v>1693</v>
      </c>
      <c r="B530" s="8" t="s">
        <v>1061</v>
      </c>
      <c r="C530" s="8" t="s">
        <v>1167</v>
      </c>
      <c r="D530" s="8" t="s">
        <v>219</v>
      </c>
      <c r="E530" s="8">
        <v>6</v>
      </c>
      <c r="F530" s="10">
        <v>13000</v>
      </c>
      <c r="G530" s="10">
        <v>24600</v>
      </c>
      <c r="H530" s="10">
        <f t="shared" si="24"/>
        <v>78000</v>
      </c>
      <c r="I530" s="10">
        <f t="shared" si="25"/>
        <v>147600</v>
      </c>
      <c r="J530" s="8">
        <f t="shared" si="26"/>
        <v>0</v>
      </c>
      <c r="K530" s="8">
        <f>IFERROR(INDEX(T_OrdenesTrabajo[En_Filtro],MATCH(B530,T_OrdenesTrabajo[ID_OT],0)),0)</f>
        <v>1</v>
      </c>
    </row>
    <row r="531" spans="1:11" x14ac:dyDescent="0.25">
      <c r="A531" s="8" t="s">
        <v>1694</v>
      </c>
      <c r="B531" s="8" t="s">
        <v>1066</v>
      </c>
      <c r="C531" s="8" t="s">
        <v>1164</v>
      </c>
      <c r="D531" s="8" t="s">
        <v>52</v>
      </c>
      <c r="E531" s="8">
        <v>1</v>
      </c>
      <c r="F531" s="10">
        <v>319080</v>
      </c>
      <c r="G531" s="10">
        <v>412770</v>
      </c>
      <c r="H531" s="10">
        <f t="shared" si="24"/>
        <v>319080</v>
      </c>
      <c r="I531" s="10">
        <f t="shared" si="25"/>
        <v>412770</v>
      </c>
      <c r="J531" s="8">
        <f t="shared" si="26"/>
        <v>0</v>
      </c>
      <c r="K531" s="8">
        <f>IFERROR(INDEX(T_OrdenesTrabajo[En_Filtro],MATCH(B531,T_OrdenesTrabajo[ID_OT],0)),0)</f>
        <v>1</v>
      </c>
    </row>
    <row r="532" spans="1:11" x14ac:dyDescent="0.25">
      <c r="A532" s="8" t="s">
        <v>1695</v>
      </c>
      <c r="B532" s="8" t="s">
        <v>1066</v>
      </c>
      <c r="C532" s="8" t="s">
        <v>1164</v>
      </c>
      <c r="D532" s="8" t="s">
        <v>31</v>
      </c>
      <c r="E532" s="8">
        <v>3</v>
      </c>
      <c r="F532" s="10">
        <v>34170</v>
      </c>
      <c r="G532" s="10">
        <v>47500</v>
      </c>
      <c r="H532" s="10">
        <f t="shared" si="24"/>
        <v>102510</v>
      </c>
      <c r="I532" s="10">
        <f t="shared" si="25"/>
        <v>142500</v>
      </c>
      <c r="J532" s="8">
        <f t="shared" si="26"/>
        <v>0</v>
      </c>
      <c r="K532" s="8">
        <f>IFERROR(INDEX(T_OrdenesTrabajo[En_Filtro],MATCH(B532,T_OrdenesTrabajo[ID_OT],0)),0)</f>
        <v>1</v>
      </c>
    </row>
    <row r="533" spans="1:11" x14ac:dyDescent="0.25">
      <c r="A533" s="8" t="s">
        <v>1696</v>
      </c>
      <c r="B533" s="8" t="s">
        <v>1066</v>
      </c>
      <c r="C533" s="8" t="s">
        <v>1164</v>
      </c>
      <c r="D533" s="8" t="s">
        <v>42</v>
      </c>
      <c r="E533" s="8">
        <v>2</v>
      </c>
      <c r="F533" s="10">
        <v>42410</v>
      </c>
      <c r="G533" s="10">
        <v>53730</v>
      </c>
      <c r="H533" s="10">
        <f t="shared" si="24"/>
        <v>84820</v>
      </c>
      <c r="I533" s="10">
        <f t="shared" si="25"/>
        <v>107460</v>
      </c>
      <c r="J533" s="8">
        <f t="shared" si="26"/>
        <v>0</v>
      </c>
      <c r="K533" s="8">
        <f>IFERROR(INDEX(T_OrdenesTrabajo[En_Filtro],MATCH(B533,T_OrdenesTrabajo[ID_OT],0)),0)</f>
        <v>1</v>
      </c>
    </row>
    <row r="534" spans="1:11" x14ac:dyDescent="0.25">
      <c r="A534" s="8" t="s">
        <v>1697</v>
      </c>
      <c r="B534" s="8" t="s">
        <v>1066</v>
      </c>
      <c r="C534" s="8" t="s">
        <v>1167</v>
      </c>
      <c r="D534" s="8" t="s">
        <v>224</v>
      </c>
      <c r="E534" s="8">
        <v>23</v>
      </c>
      <c r="F534" s="10">
        <v>13500</v>
      </c>
      <c r="G534" s="10">
        <v>24700</v>
      </c>
      <c r="H534" s="10">
        <f t="shared" si="24"/>
        <v>310500</v>
      </c>
      <c r="I534" s="10">
        <f t="shared" si="25"/>
        <v>568100</v>
      </c>
      <c r="J534" s="8">
        <f t="shared" si="26"/>
        <v>0</v>
      </c>
      <c r="K534" s="8">
        <f>IFERROR(INDEX(T_OrdenesTrabajo[En_Filtro],MATCH(B534,T_OrdenesTrabajo[ID_OT],0)),0)</f>
        <v>1</v>
      </c>
    </row>
    <row r="535" spans="1:11" x14ac:dyDescent="0.25">
      <c r="A535" s="8" t="s">
        <v>1698</v>
      </c>
      <c r="B535" s="8" t="s">
        <v>1071</v>
      </c>
      <c r="C535" s="8" t="s">
        <v>1164</v>
      </c>
      <c r="D535" s="8" t="s">
        <v>13</v>
      </c>
      <c r="E535" s="8">
        <v>3</v>
      </c>
      <c r="F535" s="10">
        <v>31350</v>
      </c>
      <c r="G535" s="10">
        <v>37930</v>
      </c>
      <c r="H535" s="10">
        <f t="shared" si="24"/>
        <v>94050</v>
      </c>
      <c r="I535" s="10">
        <f t="shared" si="25"/>
        <v>113790</v>
      </c>
      <c r="J535" s="8">
        <f t="shared" si="26"/>
        <v>0</v>
      </c>
      <c r="K535" s="8">
        <f>IFERROR(INDEX(T_OrdenesTrabajo[En_Filtro],MATCH(B535,T_OrdenesTrabajo[ID_OT],0)),0)</f>
        <v>1</v>
      </c>
    </row>
    <row r="536" spans="1:11" x14ac:dyDescent="0.25">
      <c r="A536" s="8" t="s">
        <v>1699</v>
      </c>
      <c r="B536" s="8" t="s">
        <v>1071</v>
      </c>
      <c r="C536" s="8" t="s">
        <v>1167</v>
      </c>
      <c r="D536" s="8" t="s">
        <v>214</v>
      </c>
      <c r="E536" s="8">
        <v>2</v>
      </c>
      <c r="F536" s="10">
        <v>12700</v>
      </c>
      <c r="G536" s="10">
        <v>23500</v>
      </c>
      <c r="H536" s="10">
        <f t="shared" si="24"/>
        <v>25400</v>
      </c>
      <c r="I536" s="10">
        <f t="shared" si="25"/>
        <v>47000</v>
      </c>
      <c r="J536" s="8">
        <f t="shared" si="26"/>
        <v>0</v>
      </c>
      <c r="K536" s="8">
        <f>IFERROR(INDEX(T_OrdenesTrabajo[En_Filtro],MATCH(B536,T_OrdenesTrabajo[ID_OT],0)),0)</f>
        <v>1</v>
      </c>
    </row>
    <row r="537" spans="1:11" x14ac:dyDescent="0.25">
      <c r="A537" s="8" t="s">
        <v>1700</v>
      </c>
      <c r="B537" s="8" t="s">
        <v>1071</v>
      </c>
      <c r="C537" s="8" t="s">
        <v>1167</v>
      </c>
      <c r="D537" s="8" t="s">
        <v>217</v>
      </c>
      <c r="E537" s="8">
        <v>2</v>
      </c>
      <c r="F537" s="10">
        <v>11200</v>
      </c>
      <c r="G537" s="10">
        <v>23300</v>
      </c>
      <c r="H537" s="10">
        <f t="shared" si="24"/>
        <v>22400</v>
      </c>
      <c r="I537" s="10">
        <f t="shared" si="25"/>
        <v>46600</v>
      </c>
      <c r="J537" s="8">
        <f t="shared" si="26"/>
        <v>0</v>
      </c>
      <c r="K537" s="8">
        <f>IFERROR(INDEX(T_OrdenesTrabajo[En_Filtro],MATCH(B537,T_OrdenesTrabajo[ID_OT],0)),0)</f>
        <v>1</v>
      </c>
    </row>
    <row r="538" spans="1:11" x14ac:dyDescent="0.25">
      <c r="A538" s="8" t="s">
        <v>1701</v>
      </c>
      <c r="B538" s="8" t="s">
        <v>1076</v>
      </c>
      <c r="C538" s="8" t="s">
        <v>1164</v>
      </c>
      <c r="D538" s="8" t="s">
        <v>63</v>
      </c>
      <c r="E538" s="8">
        <v>2</v>
      </c>
      <c r="F538" s="10">
        <v>67120</v>
      </c>
      <c r="G538" s="10">
        <v>92380</v>
      </c>
      <c r="H538" s="10">
        <f t="shared" si="24"/>
        <v>134240</v>
      </c>
      <c r="I538" s="10">
        <f t="shared" si="25"/>
        <v>184760</v>
      </c>
      <c r="J538" s="8">
        <f t="shared" si="26"/>
        <v>0</v>
      </c>
      <c r="K538" s="8">
        <f>IFERROR(INDEX(T_OrdenesTrabajo[En_Filtro],MATCH(B538,T_OrdenesTrabajo[ID_OT],0)),0)</f>
        <v>1</v>
      </c>
    </row>
    <row r="539" spans="1:11" x14ac:dyDescent="0.25">
      <c r="A539" s="8" t="s">
        <v>1702</v>
      </c>
      <c r="B539" s="8" t="s">
        <v>1076</v>
      </c>
      <c r="C539" s="8" t="s">
        <v>1164</v>
      </c>
      <c r="D539" s="8" t="s">
        <v>17</v>
      </c>
      <c r="E539" s="8">
        <v>22</v>
      </c>
      <c r="F539" s="10">
        <v>5000</v>
      </c>
      <c r="G539" s="10">
        <v>6100</v>
      </c>
      <c r="H539" s="10">
        <f t="shared" si="24"/>
        <v>110000</v>
      </c>
      <c r="I539" s="10">
        <f t="shared" si="25"/>
        <v>134200</v>
      </c>
      <c r="J539" s="8">
        <f t="shared" si="26"/>
        <v>0</v>
      </c>
      <c r="K539" s="8">
        <f>IFERROR(INDEX(T_OrdenesTrabajo[En_Filtro],MATCH(B539,T_OrdenesTrabajo[ID_OT],0)),0)</f>
        <v>1</v>
      </c>
    </row>
    <row r="540" spans="1:11" x14ac:dyDescent="0.25">
      <c r="A540" s="8" t="s">
        <v>1703</v>
      </c>
      <c r="B540" s="8" t="s">
        <v>1076</v>
      </c>
      <c r="C540" s="8" t="s">
        <v>1164</v>
      </c>
      <c r="D540" s="8" t="s">
        <v>22</v>
      </c>
      <c r="E540" s="8">
        <v>13</v>
      </c>
      <c r="F540" s="10">
        <v>4790</v>
      </c>
      <c r="G540" s="10">
        <v>5730</v>
      </c>
      <c r="H540" s="10">
        <f t="shared" si="24"/>
        <v>62270</v>
      </c>
      <c r="I540" s="10">
        <f t="shared" si="25"/>
        <v>74490</v>
      </c>
      <c r="J540" s="8">
        <f t="shared" si="26"/>
        <v>0</v>
      </c>
      <c r="K540" s="8">
        <f>IFERROR(INDEX(T_OrdenesTrabajo[En_Filtro],MATCH(B540,T_OrdenesTrabajo[ID_OT],0)),0)</f>
        <v>1</v>
      </c>
    </row>
    <row r="541" spans="1:11" x14ac:dyDescent="0.25">
      <c r="A541" s="8" t="s">
        <v>1704</v>
      </c>
      <c r="B541" s="8" t="s">
        <v>1076</v>
      </c>
      <c r="C541" s="8" t="s">
        <v>1167</v>
      </c>
      <c r="D541" s="8" t="s">
        <v>219</v>
      </c>
      <c r="E541" s="8">
        <v>4</v>
      </c>
      <c r="F541" s="10">
        <v>11400</v>
      </c>
      <c r="G541" s="10">
        <v>21700</v>
      </c>
      <c r="H541" s="10">
        <f t="shared" si="24"/>
        <v>45600</v>
      </c>
      <c r="I541" s="10">
        <f t="shared" si="25"/>
        <v>86800</v>
      </c>
      <c r="J541" s="8">
        <f t="shared" si="26"/>
        <v>0</v>
      </c>
      <c r="K541" s="8">
        <f>IFERROR(INDEX(T_OrdenesTrabajo[En_Filtro],MATCH(B541,T_OrdenesTrabajo[ID_OT],0)),0)</f>
        <v>1</v>
      </c>
    </row>
    <row r="542" spans="1:11" x14ac:dyDescent="0.25">
      <c r="A542" s="8" t="s">
        <v>1705</v>
      </c>
      <c r="B542" s="8" t="s">
        <v>1081</v>
      </c>
      <c r="C542" s="8" t="s">
        <v>1164</v>
      </c>
      <c r="D542" s="8" t="s">
        <v>52</v>
      </c>
      <c r="E542" s="8">
        <v>1</v>
      </c>
      <c r="F542" s="10">
        <v>299700</v>
      </c>
      <c r="G542" s="10">
        <v>393360</v>
      </c>
      <c r="H542" s="10">
        <f t="shared" si="24"/>
        <v>299700</v>
      </c>
      <c r="I542" s="10">
        <f t="shared" si="25"/>
        <v>393360</v>
      </c>
      <c r="J542" s="8">
        <f t="shared" si="26"/>
        <v>0</v>
      </c>
      <c r="K542" s="8">
        <f>IFERROR(INDEX(T_OrdenesTrabajo[En_Filtro],MATCH(B542,T_OrdenesTrabajo[ID_OT],0)),0)</f>
        <v>1</v>
      </c>
    </row>
    <row r="543" spans="1:11" x14ac:dyDescent="0.25">
      <c r="A543" s="8" t="s">
        <v>1706</v>
      </c>
      <c r="B543" s="8" t="s">
        <v>1081</v>
      </c>
      <c r="C543" s="8" t="s">
        <v>1164</v>
      </c>
      <c r="D543" s="8" t="s">
        <v>50</v>
      </c>
      <c r="E543" s="8">
        <v>1</v>
      </c>
      <c r="F543" s="10">
        <v>255650</v>
      </c>
      <c r="G543" s="10">
        <v>363540</v>
      </c>
      <c r="H543" s="10">
        <f t="shared" si="24"/>
        <v>255650</v>
      </c>
      <c r="I543" s="10">
        <f t="shared" si="25"/>
        <v>363540</v>
      </c>
      <c r="J543" s="8">
        <f t="shared" si="26"/>
        <v>0</v>
      </c>
      <c r="K543" s="8">
        <f>IFERROR(INDEX(T_OrdenesTrabajo[En_Filtro],MATCH(B543,T_OrdenesTrabajo[ID_OT],0)),0)</f>
        <v>1</v>
      </c>
    </row>
    <row r="544" spans="1:11" x14ac:dyDescent="0.25">
      <c r="A544" s="8" t="s">
        <v>1707</v>
      </c>
      <c r="B544" s="8" t="s">
        <v>1081</v>
      </c>
      <c r="C544" s="8" t="s">
        <v>1167</v>
      </c>
      <c r="D544" s="8" t="s">
        <v>226</v>
      </c>
      <c r="E544" s="8">
        <v>30</v>
      </c>
      <c r="F544" s="10">
        <v>12200</v>
      </c>
      <c r="G544" s="10">
        <v>25600</v>
      </c>
      <c r="H544" s="10">
        <f t="shared" si="24"/>
        <v>366000</v>
      </c>
      <c r="I544" s="10">
        <f t="shared" si="25"/>
        <v>768000</v>
      </c>
      <c r="J544" s="8">
        <f t="shared" si="26"/>
        <v>0</v>
      </c>
      <c r="K544" s="8">
        <f>IFERROR(INDEX(T_OrdenesTrabajo[En_Filtro],MATCH(B544,T_OrdenesTrabajo[ID_OT],0)),0)</f>
        <v>1</v>
      </c>
    </row>
    <row r="545" spans="1:11" x14ac:dyDescent="0.25">
      <c r="A545" s="8" t="s">
        <v>1708</v>
      </c>
      <c r="B545" s="8" t="s">
        <v>1081</v>
      </c>
      <c r="C545" s="8" t="s">
        <v>1167</v>
      </c>
      <c r="D545" s="8" t="s">
        <v>221</v>
      </c>
      <c r="E545" s="8">
        <v>17</v>
      </c>
      <c r="F545" s="10">
        <v>13800</v>
      </c>
      <c r="G545" s="10">
        <v>23700</v>
      </c>
      <c r="H545" s="10">
        <f t="shared" si="24"/>
        <v>234600</v>
      </c>
      <c r="I545" s="10">
        <f t="shared" si="25"/>
        <v>402900</v>
      </c>
      <c r="J545" s="8">
        <f t="shared" si="26"/>
        <v>0</v>
      </c>
      <c r="K545" s="8">
        <f>IFERROR(INDEX(T_OrdenesTrabajo[En_Filtro],MATCH(B545,T_OrdenesTrabajo[ID_OT],0)),0)</f>
        <v>1</v>
      </c>
    </row>
    <row r="546" spans="1:11" x14ac:dyDescent="0.25">
      <c r="A546" s="8" t="s">
        <v>1709</v>
      </c>
      <c r="B546" s="8" t="s">
        <v>1086</v>
      </c>
      <c r="C546" s="8" t="s">
        <v>1164</v>
      </c>
      <c r="D546" s="8" t="s">
        <v>54</v>
      </c>
      <c r="E546" s="8">
        <v>1</v>
      </c>
      <c r="F546" s="10">
        <v>97260</v>
      </c>
      <c r="G546" s="10">
        <v>76630</v>
      </c>
      <c r="H546" s="10">
        <f t="shared" si="24"/>
        <v>97260</v>
      </c>
      <c r="I546" s="10">
        <f t="shared" si="25"/>
        <v>76630</v>
      </c>
      <c r="J546" s="8">
        <f t="shared" si="26"/>
        <v>0</v>
      </c>
      <c r="K546" s="8">
        <f>IFERROR(INDEX(T_OrdenesTrabajo[En_Filtro],MATCH(B546,T_OrdenesTrabajo[ID_OT],0)),0)</f>
        <v>1</v>
      </c>
    </row>
    <row r="547" spans="1:11" x14ac:dyDescent="0.25">
      <c r="A547" s="8" t="s">
        <v>1710</v>
      </c>
      <c r="B547" s="8" t="s">
        <v>1086</v>
      </c>
      <c r="C547" s="8" t="s">
        <v>1167</v>
      </c>
      <c r="D547" s="8" t="s">
        <v>219</v>
      </c>
      <c r="E547" s="8">
        <v>4</v>
      </c>
      <c r="F547" s="10">
        <v>13300</v>
      </c>
      <c r="G547" s="10">
        <v>14200</v>
      </c>
      <c r="H547" s="10">
        <f t="shared" si="24"/>
        <v>53200</v>
      </c>
      <c r="I547" s="10">
        <f t="shared" si="25"/>
        <v>56800</v>
      </c>
      <c r="J547" s="8">
        <f t="shared" si="26"/>
        <v>0</v>
      </c>
      <c r="K547" s="8">
        <f>IFERROR(INDEX(T_OrdenesTrabajo[En_Filtro],MATCH(B547,T_OrdenesTrabajo[ID_OT],0)),0)</f>
        <v>1</v>
      </c>
    </row>
    <row r="548" spans="1:11" x14ac:dyDescent="0.25">
      <c r="A548" s="8" t="s">
        <v>1711</v>
      </c>
      <c r="B548" s="8" t="s">
        <v>1090</v>
      </c>
      <c r="C548" s="8" t="s">
        <v>1164</v>
      </c>
      <c r="D548" s="8" t="s">
        <v>61</v>
      </c>
      <c r="E548" s="8">
        <v>3</v>
      </c>
      <c r="F548" s="10">
        <v>73680</v>
      </c>
      <c r="G548" s="10">
        <v>87190</v>
      </c>
      <c r="H548" s="10">
        <f t="shared" si="24"/>
        <v>221040</v>
      </c>
      <c r="I548" s="10">
        <f t="shared" si="25"/>
        <v>261570</v>
      </c>
      <c r="J548" s="8">
        <f t="shared" si="26"/>
        <v>0</v>
      </c>
      <c r="K548" s="8">
        <f>IFERROR(INDEX(T_OrdenesTrabajo[En_Filtro],MATCH(B548,T_OrdenesTrabajo[ID_OT],0)),0)</f>
        <v>1</v>
      </c>
    </row>
    <row r="549" spans="1:11" x14ac:dyDescent="0.25">
      <c r="A549" s="8" t="s">
        <v>1712</v>
      </c>
      <c r="B549" s="8" t="s">
        <v>1090</v>
      </c>
      <c r="C549" s="8" t="s">
        <v>1167</v>
      </c>
      <c r="D549" s="8" t="s">
        <v>214</v>
      </c>
      <c r="E549" s="8">
        <v>3</v>
      </c>
      <c r="F549" s="10">
        <v>12400</v>
      </c>
      <c r="G549" s="10">
        <v>24400</v>
      </c>
      <c r="H549" s="10">
        <f t="shared" si="24"/>
        <v>37200</v>
      </c>
      <c r="I549" s="10">
        <f t="shared" si="25"/>
        <v>73200</v>
      </c>
      <c r="J549" s="8">
        <f t="shared" si="26"/>
        <v>0</v>
      </c>
      <c r="K549" s="8">
        <f>IFERROR(INDEX(T_OrdenesTrabajo[En_Filtro],MATCH(B549,T_OrdenesTrabajo[ID_OT],0)),0)</f>
        <v>1</v>
      </c>
    </row>
    <row r="550" spans="1:11" x14ac:dyDescent="0.25">
      <c r="A550" s="8" t="s">
        <v>1713</v>
      </c>
      <c r="B550" s="8" t="s">
        <v>1090</v>
      </c>
      <c r="C550" s="8" t="s">
        <v>1167</v>
      </c>
      <c r="D550" s="8" t="s">
        <v>217</v>
      </c>
      <c r="E550" s="8">
        <v>6</v>
      </c>
      <c r="F550" s="10">
        <v>11000</v>
      </c>
      <c r="G550" s="10">
        <v>21400</v>
      </c>
      <c r="H550" s="10">
        <f t="shared" si="24"/>
        <v>66000</v>
      </c>
      <c r="I550" s="10">
        <f t="shared" si="25"/>
        <v>128400</v>
      </c>
      <c r="J550" s="8">
        <f t="shared" si="26"/>
        <v>0</v>
      </c>
      <c r="K550" s="8">
        <f>IFERROR(INDEX(T_OrdenesTrabajo[En_Filtro],MATCH(B550,T_OrdenesTrabajo[ID_OT],0)),0)</f>
        <v>1</v>
      </c>
    </row>
    <row r="551" spans="1:11" x14ac:dyDescent="0.25">
      <c r="A551" s="8" t="s">
        <v>1714</v>
      </c>
      <c r="B551" s="8" t="s">
        <v>1095</v>
      </c>
      <c r="C551" s="8" t="s">
        <v>1164</v>
      </c>
      <c r="D551" s="8" t="s">
        <v>27</v>
      </c>
      <c r="E551" s="8">
        <v>2</v>
      </c>
      <c r="F551" s="10">
        <v>104380</v>
      </c>
      <c r="G551" s="10">
        <v>132990</v>
      </c>
      <c r="H551" s="10">
        <f t="shared" si="24"/>
        <v>208760</v>
      </c>
      <c r="I551" s="10">
        <f t="shared" si="25"/>
        <v>265980</v>
      </c>
      <c r="J551" s="8">
        <f t="shared" si="26"/>
        <v>0</v>
      </c>
      <c r="K551" s="8">
        <f>IFERROR(INDEX(T_OrdenesTrabajo[En_Filtro],MATCH(B551,T_OrdenesTrabajo[ID_OT],0)),0)</f>
        <v>1</v>
      </c>
    </row>
    <row r="552" spans="1:11" x14ac:dyDescent="0.25">
      <c r="A552" s="8" t="s">
        <v>1715</v>
      </c>
      <c r="B552" s="8" t="s">
        <v>1095</v>
      </c>
      <c r="C552" s="8" t="s">
        <v>1164</v>
      </c>
      <c r="D552" s="8" t="s">
        <v>38</v>
      </c>
      <c r="E552" s="8">
        <v>3</v>
      </c>
      <c r="F552" s="10">
        <v>57570</v>
      </c>
      <c r="G552" s="10">
        <v>82050</v>
      </c>
      <c r="H552" s="10">
        <f t="shared" si="24"/>
        <v>172710</v>
      </c>
      <c r="I552" s="10">
        <f t="shared" si="25"/>
        <v>246150</v>
      </c>
      <c r="J552" s="8">
        <f t="shared" si="26"/>
        <v>0</v>
      </c>
      <c r="K552" s="8">
        <f>IFERROR(INDEX(T_OrdenesTrabajo[En_Filtro],MATCH(B552,T_OrdenesTrabajo[ID_OT],0)),0)</f>
        <v>1</v>
      </c>
    </row>
    <row r="553" spans="1:11" x14ac:dyDescent="0.25">
      <c r="A553" s="8" t="s">
        <v>1716</v>
      </c>
      <c r="B553" s="8" t="s">
        <v>1095</v>
      </c>
      <c r="C553" s="8" t="s">
        <v>1167</v>
      </c>
      <c r="D553" s="8" t="s">
        <v>214</v>
      </c>
      <c r="E553" s="8">
        <v>10</v>
      </c>
      <c r="F553" s="10">
        <v>13000</v>
      </c>
      <c r="G553" s="10">
        <v>22300</v>
      </c>
      <c r="H553" s="10">
        <f t="shared" si="24"/>
        <v>130000</v>
      </c>
      <c r="I553" s="10">
        <f t="shared" si="25"/>
        <v>223000</v>
      </c>
      <c r="J553" s="8">
        <f t="shared" si="26"/>
        <v>0</v>
      </c>
      <c r="K553" s="8">
        <f>IFERROR(INDEX(T_OrdenesTrabajo[En_Filtro],MATCH(B553,T_OrdenesTrabajo[ID_OT],0)),0)</f>
        <v>1</v>
      </c>
    </row>
    <row r="554" spans="1:11" x14ac:dyDescent="0.25">
      <c r="A554" s="8" t="s">
        <v>1717</v>
      </c>
      <c r="B554" s="8" t="s">
        <v>1099</v>
      </c>
      <c r="C554" s="8" t="s">
        <v>1164</v>
      </c>
      <c r="D554" s="8" t="s">
        <v>13</v>
      </c>
      <c r="E554" s="8">
        <v>2</v>
      </c>
      <c r="F554" s="10">
        <v>29140</v>
      </c>
      <c r="G554" s="10">
        <v>37270</v>
      </c>
      <c r="H554" s="10">
        <f t="shared" si="24"/>
        <v>58280</v>
      </c>
      <c r="I554" s="10">
        <f t="shared" si="25"/>
        <v>74540</v>
      </c>
      <c r="J554" s="8">
        <f t="shared" si="26"/>
        <v>0</v>
      </c>
      <c r="K554" s="8">
        <f>IFERROR(INDEX(T_OrdenesTrabajo[En_Filtro],MATCH(B554,T_OrdenesTrabajo[ID_OT],0)),0)</f>
        <v>1</v>
      </c>
    </row>
    <row r="555" spans="1:11" x14ac:dyDescent="0.25">
      <c r="A555" s="8" t="s">
        <v>1718</v>
      </c>
      <c r="B555" s="8" t="s">
        <v>1099</v>
      </c>
      <c r="C555" s="8" t="s">
        <v>1167</v>
      </c>
      <c r="D555" s="8" t="s">
        <v>217</v>
      </c>
      <c r="E555" s="8">
        <v>2</v>
      </c>
      <c r="F555" s="10">
        <v>13600</v>
      </c>
      <c r="G555" s="10">
        <v>23400</v>
      </c>
      <c r="H555" s="10">
        <f t="shared" si="24"/>
        <v>27200</v>
      </c>
      <c r="I555" s="10">
        <f t="shared" si="25"/>
        <v>46800</v>
      </c>
      <c r="J555" s="8">
        <f t="shared" si="26"/>
        <v>0</v>
      </c>
      <c r="K555" s="8">
        <f>IFERROR(INDEX(T_OrdenesTrabajo[En_Filtro],MATCH(B555,T_OrdenesTrabajo[ID_OT],0)),0)</f>
        <v>1</v>
      </c>
    </row>
    <row r="556" spans="1:11" x14ac:dyDescent="0.25">
      <c r="A556" s="8" t="s">
        <v>1719</v>
      </c>
      <c r="B556" s="8" t="s">
        <v>1099</v>
      </c>
      <c r="C556" s="8" t="s">
        <v>1167</v>
      </c>
      <c r="D556" s="8" t="s">
        <v>214</v>
      </c>
      <c r="E556" s="8">
        <v>3</v>
      </c>
      <c r="F556" s="10">
        <v>13500</v>
      </c>
      <c r="G556" s="10">
        <v>24700</v>
      </c>
      <c r="H556" s="10">
        <f t="shared" si="24"/>
        <v>40500</v>
      </c>
      <c r="I556" s="10">
        <f t="shared" si="25"/>
        <v>74100</v>
      </c>
      <c r="J556" s="8">
        <f t="shared" si="26"/>
        <v>0</v>
      </c>
      <c r="K556" s="8">
        <f>IFERROR(INDEX(T_OrdenesTrabajo[En_Filtro],MATCH(B556,T_OrdenesTrabajo[ID_OT],0)),0)</f>
        <v>1</v>
      </c>
    </row>
    <row r="557" spans="1:11" x14ac:dyDescent="0.25">
      <c r="A557" s="8" t="s">
        <v>1720</v>
      </c>
      <c r="B557" s="8" t="s">
        <v>1104</v>
      </c>
      <c r="C557" s="8" t="s">
        <v>1164</v>
      </c>
      <c r="D557" s="8" t="s">
        <v>20</v>
      </c>
      <c r="E557" s="8">
        <v>21</v>
      </c>
      <c r="F557" s="10">
        <v>6700</v>
      </c>
      <c r="G557" s="10">
        <v>8080</v>
      </c>
      <c r="H557" s="10">
        <f t="shared" si="24"/>
        <v>140700</v>
      </c>
      <c r="I557" s="10">
        <f t="shared" si="25"/>
        <v>169680</v>
      </c>
      <c r="J557" s="8">
        <f t="shared" si="26"/>
        <v>0</v>
      </c>
      <c r="K557" s="8">
        <f>IFERROR(INDEX(T_OrdenesTrabajo[En_Filtro],MATCH(B557,T_OrdenesTrabajo[ID_OT],0)),0)</f>
        <v>1</v>
      </c>
    </row>
    <row r="558" spans="1:11" x14ac:dyDescent="0.25">
      <c r="A558" s="8" t="s">
        <v>1721</v>
      </c>
      <c r="B558" s="8" t="s">
        <v>1104</v>
      </c>
      <c r="C558" s="8" t="s">
        <v>1164</v>
      </c>
      <c r="D558" s="8" t="s">
        <v>15</v>
      </c>
      <c r="E558" s="8">
        <v>1</v>
      </c>
      <c r="F558" s="10">
        <v>22890</v>
      </c>
      <c r="G558" s="10">
        <v>27270</v>
      </c>
      <c r="H558" s="10">
        <f t="shared" si="24"/>
        <v>22890</v>
      </c>
      <c r="I558" s="10">
        <f t="shared" si="25"/>
        <v>27270</v>
      </c>
      <c r="J558" s="8">
        <f t="shared" si="26"/>
        <v>0</v>
      </c>
      <c r="K558" s="8">
        <f>IFERROR(INDEX(T_OrdenesTrabajo[En_Filtro],MATCH(B558,T_OrdenesTrabajo[ID_OT],0)),0)</f>
        <v>1</v>
      </c>
    </row>
    <row r="559" spans="1:11" x14ac:dyDescent="0.25">
      <c r="A559" s="8" t="s">
        <v>1722</v>
      </c>
      <c r="B559" s="8" t="s">
        <v>1104</v>
      </c>
      <c r="C559" s="8" t="s">
        <v>1164</v>
      </c>
      <c r="D559" s="8" t="s">
        <v>9</v>
      </c>
      <c r="E559" s="8">
        <v>2</v>
      </c>
      <c r="F559" s="10"/>
      <c r="G559" s="10">
        <v>23160</v>
      </c>
      <c r="H559" s="10" t="str">
        <f t="shared" si="24"/>
        <v/>
      </c>
      <c r="I559" s="10">
        <f t="shared" si="25"/>
        <v>46320</v>
      </c>
      <c r="J559" s="8">
        <f t="shared" si="26"/>
        <v>1</v>
      </c>
      <c r="K559" s="8">
        <f>IFERROR(INDEX(T_OrdenesTrabajo[En_Filtro],MATCH(B559,T_OrdenesTrabajo[ID_OT],0)),0)</f>
        <v>1</v>
      </c>
    </row>
    <row r="560" spans="1:11" x14ac:dyDescent="0.25">
      <c r="A560" s="8" t="s">
        <v>1723</v>
      </c>
      <c r="B560" s="8" t="s">
        <v>1104</v>
      </c>
      <c r="C560" s="8" t="s">
        <v>1167</v>
      </c>
      <c r="D560" s="8" t="s">
        <v>219</v>
      </c>
      <c r="E560" s="8">
        <v>3</v>
      </c>
      <c r="F560" s="10">
        <v>12000</v>
      </c>
      <c r="G560" s="10">
        <v>24400</v>
      </c>
      <c r="H560" s="10">
        <f t="shared" si="24"/>
        <v>36000</v>
      </c>
      <c r="I560" s="10">
        <f t="shared" si="25"/>
        <v>73200</v>
      </c>
      <c r="J560" s="8">
        <f t="shared" si="26"/>
        <v>0</v>
      </c>
      <c r="K560" s="8">
        <f>IFERROR(INDEX(T_OrdenesTrabajo[En_Filtro],MATCH(B560,T_OrdenesTrabajo[ID_OT],0)),0)</f>
        <v>1</v>
      </c>
    </row>
    <row r="561" spans="1:11" x14ac:dyDescent="0.25">
      <c r="A561" s="8" t="s">
        <v>1724</v>
      </c>
      <c r="B561" s="8" t="s">
        <v>1104</v>
      </c>
      <c r="C561" s="8" t="s">
        <v>1167</v>
      </c>
      <c r="D561" s="8" t="s">
        <v>219</v>
      </c>
      <c r="E561" s="8">
        <v>2</v>
      </c>
      <c r="F561" s="10">
        <v>13600</v>
      </c>
      <c r="G561" s="10">
        <v>23100</v>
      </c>
      <c r="H561" s="10">
        <f t="shared" si="24"/>
        <v>27200</v>
      </c>
      <c r="I561" s="10">
        <f t="shared" si="25"/>
        <v>46200</v>
      </c>
      <c r="J561" s="8">
        <f t="shared" si="26"/>
        <v>0</v>
      </c>
      <c r="K561" s="8">
        <f>IFERROR(INDEX(T_OrdenesTrabajo[En_Filtro],MATCH(B561,T_OrdenesTrabajo[ID_OT],0)),0)</f>
        <v>1</v>
      </c>
    </row>
    <row r="562" spans="1:11" x14ac:dyDescent="0.25">
      <c r="A562" s="8" t="s">
        <v>1725</v>
      </c>
      <c r="B562" s="8" t="s">
        <v>1108</v>
      </c>
      <c r="C562" s="8" t="s">
        <v>1164</v>
      </c>
      <c r="D562" s="8" t="s">
        <v>20</v>
      </c>
      <c r="E562" s="8">
        <v>22</v>
      </c>
      <c r="F562" s="10">
        <v>6240</v>
      </c>
      <c r="G562" s="10">
        <v>8930</v>
      </c>
      <c r="H562" s="10">
        <f t="shared" si="24"/>
        <v>137280</v>
      </c>
      <c r="I562" s="10">
        <f t="shared" si="25"/>
        <v>196460</v>
      </c>
      <c r="J562" s="8">
        <f t="shared" si="26"/>
        <v>0</v>
      </c>
      <c r="K562" s="8">
        <f>IFERROR(INDEX(T_OrdenesTrabajo[En_Filtro],MATCH(B562,T_OrdenesTrabajo[ID_OT],0)),0)</f>
        <v>1</v>
      </c>
    </row>
    <row r="563" spans="1:11" x14ac:dyDescent="0.25">
      <c r="A563" s="8" t="s">
        <v>1726</v>
      </c>
      <c r="B563" s="8" t="s">
        <v>1108</v>
      </c>
      <c r="C563" s="8" t="s">
        <v>1167</v>
      </c>
      <c r="D563" s="8" t="s">
        <v>217</v>
      </c>
      <c r="E563" s="8">
        <v>11</v>
      </c>
      <c r="F563" s="10">
        <v>12100</v>
      </c>
      <c r="G563" s="10">
        <v>24100</v>
      </c>
      <c r="H563" s="10">
        <f t="shared" si="24"/>
        <v>133100</v>
      </c>
      <c r="I563" s="10">
        <f t="shared" si="25"/>
        <v>265100</v>
      </c>
      <c r="J563" s="8">
        <f t="shared" si="26"/>
        <v>0</v>
      </c>
      <c r="K563" s="8">
        <f>IFERROR(INDEX(T_OrdenesTrabajo[En_Filtro],MATCH(B563,T_OrdenesTrabajo[ID_OT],0)),0)</f>
        <v>1</v>
      </c>
    </row>
    <row r="564" spans="1:11" x14ac:dyDescent="0.25">
      <c r="A564" s="8" t="s">
        <v>1727</v>
      </c>
      <c r="B564" s="8" t="s">
        <v>1113</v>
      </c>
      <c r="C564" s="8" t="s">
        <v>1164</v>
      </c>
      <c r="D564" s="8" t="s">
        <v>15</v>
      </c>
      <c r="E564" s="8">
        <v>1</v>
      </c>
      <c r="F564" s="10">
        <v>23370</v>
      </c>
      <c r="G564" s="10">
        <v>31660</v>
      </c>
      <c r="H564" s="10">
        <f t="shared" si="24"/>
        <v>23370</v>
      </c>
      <c r="I564" s="10">
        <f t="shared" si="25"/>
        <v>31660</v>
      </c>
      <c r="J564" s="8">
        <f t="shared" si="26"/>
        <v>0</v>
      </c>
      <c r="K564" s="8">
        <f>IFERROR(INDEX(T_OrdenesTrabajo[En_Filtro],MATCH(B564,T_OrdenesTrabajo[ID_OT],0)),0)</f>
        <v>1</v>
      </c>
    </row>
    <row r="565" spans="1:11" x14ac:dyDescent="0.25">
      <c r="A565" s="8" t="s">
        <v>1728</v>
      </c>
      <c r="B565" s="8" t="s">
        <v>1113</v>
      </c>
      <c r="C565" s="8" t="s">
        <v>1164</v>
      </c>
      <c r="D565" s="8" t="s">
        <v>9</v>
      </c>
      <c r="E565" s="8">
        <v>3</v>
      </c>
      <c r="F565" s="10">
        <v>15530</v>
      </c>
      <c r="G565" s="10">
        <v>22060</v>
      </c>
      <c r="H565" s="10">
        <f t="shared" si="24"/>
        <v>46590</v>
      </c>
      <c r="I565" s="10">
        <f t="shared" si="25"/>
        <v>66180</v>
      </c>
      <c r="J565" s="8">
        <f t="shared" si="26"/>
        <v>0</v>
      </c>
      <c r="K565" s="8">
        <f>IFERROR(INDEX(T_OrdenesTrabajo[En_Filtro],MATCH(B565,T_OrdenesTrabajo[ID_OT],0)),0)</f>
        <v>1</v>
      </c>
    </row>
    <row r="566" spans="1:11" x14ac:dyDescent="0.25">
      <c r="A566" s="8" t="s">
        <v>1729</v>
      </c>
      <c r="B566" s="8" t="s">
        <v>1113</v>
      </c>
      <c r="C566" s="8" t="s">
        <v>1167</v>
      </c>
      <c r="D566" s="8" t="s">
        <v>214</v>
      </c>
      <c r="E566" s="8">
        <v>4</v>
      </c>
      <c r="F566" s="10">
        <v>11300</v>
      </c>
      <c r="G566" s="10">
        <v>22700</v>
      </c>
      <c r="H566" s="10">
        <f t="shared" si="24"/>
        <v>45200</v>
      </c>
      <c r="I566" s="10">
        <f t="shared" si="25"/>
        <v>90800</v>
      </c>
      <c r="J566" s="8">
        <f t="shared" si="26"/>
        <v>0</v>
      </c>
      <c r="K566" s="8">
        <f>IFERROR(INDEX(T_OrdenesTrabajo[En_Filtro],MATCH(B566,T_OrdenesTrabajo[ID_OT],0)),0)</f>
        <v>1</v>
      </c>
    </row>
    <row r="567" spans="1:11" x14ac:dyDescent="0.25">
      <c r="A567" s="8" t="s">
        <v>1730</v>
      </c>
      <c r="B567" s="8" t="s">
        <v>1116</v>
      </c>
      <c r="C567" s="8" t="s">
        <v>1164</v>
      </c>
      <c r="D567" s="8" t="s">
        <v>35</v>
      </c>
      <c r="E567" s="8">
        <v>2</v>
      </c>
      <c r="F567" s="10">
        <v>20130</v>
      </c>
      <c r="G567" s="10">
        <v>24880</v>
      </c>
      <c r="H567" s="10">
        <f t="shared" si="24"/>
        <v>40260</v>
      </c>
      <c r="I567" s="10">
        <f t="shared" si="25"/>
        <v>49760</v>
      </c>
      <c r="J567" s="8">
        <f t="shared" si="26"/>
        <v>0</v>
      </c>
      <c r="K567" s="8">
        <f>IFERROR(INDEX(T_OrdenesTrabajo[En_Filtro],MATCH(B567,T_OrdenesTrabajo[ID_OT],0)),0)</f>
        <v>1</v>
      </c>
    </row>
    <row r="568" spans="1:11" x14ac:dyDescent="0.25">
      <c r="A568" s="8" t="s">
        <v>1731</v>
      </c>
      <c r="B568" s="8" t="s">
        <v>1116</v>
      </c>
      <c r="C568" s="8" t="s">
        <v>1164</v>
      </c>
      <c r="D568" s="8" t="s">
        <v>65</v>
      </c>
      <c r="E568" s="8">
        <v>2</v>
      </c>
      <c r="F568" s="10">
        <v>24970</v>
      </c>
      <c r="G568" s="10">
        <v>31630</v>
      </c>
      <c r="H568" s="10">
        <f t="shared" si="24"/>
        <v>49940</v>
      </c>
      <c r="I568" s="10">
        <f t="shared" si="25"/>
        <v>63260</v>
      </c>
      <c r="J568" s="8">
        <f t="shared" si="26"/>
        <v>0</v>
      </c>
      <c r="K568" s="8">
        <f>IFERROR(INDEX(T_OrdenesTrabajo[En_Filtro],MATCH(B568,T_OrdenesTrabajo[ID_OT],0)),0)</f>
        <v>1</v>
      </c>
    </row>
    <row r="569" spans="1:11" x14ac:dyDescent="0.25">
      <c r="A569" s="8" t="s">
        <v>1732</v>
      </c>
      <c r="B569" s="8" t="s">
        <v>1116</v>
      </c>
      <c r="C569" s="8" t="s">
        <v>1167</v>
      </c>
      <c r="D569" s="8" t="s">
        <v>214</v>
      </c>
      <c r="E569" s="8">
        <v>4</v>
      </c>
      <c r="F569" s="10">
        <v>13500</v>
      </c>
      <c r="G569" s="10">
        <v>22600</v>
      </c>
      <c r="H569" s="10">
        <f t="shared" si="24"/>
        <v>54000</v>
      </c>
      <c r="I569" s="10">
        <f t="shared" si="25"/>
        <v>90400</v>
      </c>
      <c r="J569" s="8">
        <f t="shared" si="26"/>
        <v>0</v>
      </c>
      <c r="K569" s="8">
        <f>IFERROR(INDEX(T_OrdenesTrabajo[En_Filtro],MATCH(B569,T_OrdenesTrabajo[ID_OT],0)),0)</f>
        <v>1</v>
      </c>
    </row>
    <row r="570" spans="1:11" x14ac:dyDescent="0.25">
      <c r="A570" s="8" t="s">
        <v>1733</v>
      </c>
      <c r="B570" s="8" t="s">
        <v>1121</v>
      </c>
      <c r="C570" s="8" t="s">
        <v>1164</v>
      </c>
      <c r="D570" s="8" t="s">
        <v>13</v>
      </c>
      <c r="E570" s="8">
        <v>2</v>
      </c>
      <c r="F570" s="10">
        <v>28720</v>
      </c>
      <c r="G570" s="10">
        <v>36560</v>
      </c>
      <c r="H570" s="10">
        <f t="shared" si="24"/>
        <v>57440</v>
      </c>
      <c r="I570" s="10">
        <f t="shared" si="25"/>
        <v>73120</v>
      </c>
      <c r="J570" s="8">
        <f t="shared" si="26"/>
        <v>0</v>
      </c>
      <c r="K570" s="8">
        <f>IFERROR(INDEX(T_OrdenesTrabajo[En_Filtro],MATCH(B570,T_OrdenesTrabajo[ID_OT],0)),0)</f>
        <v>1</v>
      </c>
    </row>
    <row r="571" spans="1:11" x14ac:dyDescent="0.25">
      <c r="A571" s="8" t="s">
        <v>1734</v>
      </c>
      <c r="B571" s="8" t="s">
        <v>1121</v>
      </c>
      <c r="C571" s="8" t="s">
        <v>1167</v>
      </c>
      <c r="D571" s="8" t="s">
        <v>217</v>
      </c>
      <c r="E571" s="8">
        <v>4</v>
      </c>
      <c r="F571" s="10">
        <v>12400</v>
      </c>
      <c r="G571" s="10">
        <v>21600</v>
      </c>
      <c r="H571" s="10">
        <f t="shared" si="24"/>
        <v>49600</v>
      </c>
      <c r="I571" s="10">
        <f t="shared" si="25"/>
        <v>86400</v>
      </c>
      <c r="J571" s="8">
        <f t="shared" si="26"/>
        <v>0</v>
      </c>
      <c r="K571" s="8">
        <f>IFERROR(INDEX(T_OrdenesTrabajo[En_Filtro],MATCH(B571,T_OrdenesTrabajo[ID_OT],0)),0)</f>
        <v>1</v>
      </c>
    </row>
    <row r="572" spans="1:11" x14ac:dyDescent="0.25">
      <c r="A572" s="8" t="s">
        <v>1735</v>
      </c>
      <c r="B572" s="8" t="s">
        <v>1126</v>
      </c>
      <c r="C572" s="8" t="s">
        <v>1164</v>
      </c>
      <c r="D572" s="8" t="s">
        <v>13</v>
      </c>
      <c r="E572" s="8">
        <v>3</v>
      </c>
      <c r="F572" s="10">
        <v>29740</v>
      </c>
      <c r="G572" s="10">
        <v>38480</v>
      </c>
      <c r="H572" s="10">
        <f t="shared" si="24"/>
        <v>89220</v>
      </c>
      <c r="I572" s="10">
        <f t="shared" si="25"/>
        <v>115440</v>
      </c>
      <c r="J572" s="8">
        <f t="shared" si="26"/>
        <v>0</v>
      </c>
      <c r="K572" s="8">
        <f>IFERROR(INDEX(T_OrdenesTrabajo[En_Filtro],MATCH(B572,T_OrdenesTrabajo[ID_OT],0)),0)</f>
        <v>1</v>
      </c>
    </row>
    <row r="573" spans="1:11" x14ac:dyDescent="0.25">
      <c r="A573" s="8" t="s">
        <v>1736</v>
      </c>
      <c r="B573" s="8" t="s">
        <v>1126</v>
      </c>
      <c r="C573" s="8" t="s">
        <v>1167</v>
      </c>
      <c r="D573" s="8" t="s">
        <v>214</v>
      </c>
      <c r="E573" s="8">
        <v>13</v>
      </c>
      <c r="F573" s="10">
        <v>12800</v>
      </c>
      <c r="G573" s="10">
        <v>24500</v>
      </c>
      <c r="H573" s="10">
        <f t="shared" si="24"/>
        <v>166400</v>
      </c>
      <c r="I573" s="10">
        <f t="shared" si="25"/>
        <v>318500</v>
      </c>
      <c r="J573" s="8">
        <f t="shared" si="26"/>
        <v>0</v>
      </c>
      <c r="K573" s="8">
        <f>IFERROR(INDEX(T_OrdenesTrabajo[En_Filtro],MATCH(B573,T_OrdenesTrabajo[ID_OT],0)),0)</f>
        <v>1</v>
      </c>
    </row>
    <row r="574" spans="1:11" x14ac:dyDescent="0.25">
      <c r="A574" s="8" t="s">
        <v>1737</v>
      </c>
      <c r="B574" s="8" t="s">
        <v>1131</v>
      </c>
      <c r="C574" s="8" t="s">
        <v>1164</v>
      </c>
      <c r="D574" s="8" t="s">
        <v>61</v>
      </c>
      <c r="E574" s="8">
        <v>1</v>
      </c>
      <c r="F574" s="10">
        <v>76930</v>
      </c>
      <c r="G574" s="10">
        <v>95040</v>
      </c>
      <c r="H574" s="10">
        <f t="shared" si="24"/>
        <v>76930</v>
      </c>
      <c r="I574" s="10">
        <f t="shared" si="25"/>
        <v>95040</v>
      </c>
      <c r="J574" s="8">
        <f t="shared" si="26"/>
        <v>0</v>
      </c>
      <c r="K574" s="8">
        <f>IFERROR(INDEX(T_OrdenesTrabajo[En_Filtro],MATCH(B574,T_OrdenesTrabajo[ID_OT],0)),0)</f>
        <v>1</v>
      </c>
    </row>
    <row r="575" spans="1:11" x14ac:dyDescent="0.25">
      <c r="A575" s="8" t="s">
        <v>1738</v>
      </c>
      <c r="B575" s="8" t="s">
        <v>1131</v>
      </c>
      <c r="C575" s="8" t="s">
        <v>1164</v>
      </c>
      <c r="D575" s="8" t="s">
        <v>57</v>
      </c>
      <c r="E575" s="8">
        <v>2</v>
      </c>
      <c r="F575" s="10">
        <v>112200</v>
      </c>
      <c r="G575" s="10">
        <v>135970</v>
      </c>
      <c r="H575" s="10">
        <f t="shared" si="24"/>
        <v>224400</v>
      </c>
      <c r="I575" s="10">
        <f t="shared" si="25"/>
        <v>271940</v>
      </c>
      <c r="J575" s="8">
        <f t="shared" si="26"/>
        <v>0</v>
      </c>
      <c r="K575" s="8">
        <f>IFERROR(INDEX(T_OrdenesTrabajo[En_Filtro],MATCH(B575,T_OrdenesTrabajo[ID_OT],0)),0)</f>
        <v>1</v>
      </c>
    </row>
    <row r="576" spans="1:11" x14ac:dyDescent="0.25">
      <c r="A576" s="8" t="s">
        <v>1739</v>
      </c>
      <c r="B576" s="8" t="s">
        <v>1131</v>
      </c>
      <c r="C576" s="8" t="s">
        <v>1167</v>
      </c>
      <c r="D576" s="8" t="s">
        <v>228</v>
      </c>
      <c r="E576" s="8">
        <v>6</v>
      </c>
      <c r="F576" s="10">
        <v>15300</v>
      </c>
      <c r="G576" s="10">
        <v>29300</v>
      </c>
      <c r="H576" s="10">
        <f t="shared" si="24"/>
        <v>91800</v>
      </c>
      <c r="I576" s="10">
        <f t="shared" si="25"/>
        <v>175800</v>
      </c>
      <c r="J576" s="8">
        <f t="shared" si="26"/>
        <v>0</v>
      </c>
      <c r="K576" s="8">
        <f>IFERROR(INDEX(T_OrdenesTrabajo[En_Filtro],MATCH(B576,T_OrdenesTrabajo[ID_OT],0)),0)</f>
        <v>1</v>
      </c>
    </row>
    <row r="577" spans="1:11" x14ac:dyDescent="0.25">
      <c r="A577" s="8" t="s">
        <v>1740</v>
      </c>
      <c r="B577" s="8" t="s">
        <v>1131</v>
      </c>
      <c r="C577" s="8" t="s">
        <v>1167</v>
      </c>
      <c r="D577" s="8" t="s">
        <v>214</v>
      </c>
      <c r="E577" s="8">
        <v>10</v>
      </c>
      <c r="F577" s="10">
        <v>13900</v>
      </c>
      <c r="G577" s="10">
        <v>24700</v>
      </c>
      <c r="H577" s="10">
        <f t="shared" si="24"/>
        <v>139000</v>
      </c>
      <c r="I577" s="10">
        <f t="shared" si="25"/>
        <v>247000</v>
      </c>
      <c r="J577" s="8">
        <f t="shared" si="26"/>
        <v>0</v>
      </c>
      <c r="K577" s="8">
        <f>IFERROR(INDEX(T_OrdenesTrabajo[En_Filtro],MATCH(B577,T_OrdenesTrabajo[ID_OT],0)),0)</f>
        <v>1</v>
      </c>
    </row>
    <row r="578" spans="1:11" x14ac:dyDescent="0.25">
      <c r="A578" s="8" t="s">
        <v>1741</v>
      </c>
      <c r="B578" s="8" t="s">
        <v>1135</v>
      </c>
      <c r="C578" s="8" t="s">
        <v>1164</v>
      </c>
      <c r="D578" s="8" t="s">
        <v>22</v>
      </c>
      <c r="E578" s="8">
        <v>17</v>
      </c>
      <c r="F578" s="10">
        <v>4400</v>
      </c>
      <c r="G578" s="10">
        <v>5660</v>
      </c>
      <c r="H578" s="10">
        <f t="shared" ref="H578:H592" si="27">IF(OR(ISBLANK(F578),NOT(ISNUMBER(F578))),"",E578*F578)</f>
        <v>74800</v>
      </c>
      <c r="I578" s="10">
        <f t="shared" ref="I578:I592" si="28">IF(OR(ISBLANK(G578),NOT(ISNUMBER(G578))),"",E578*G578)</f>
        <v>96220</v>
      </c>
      <c r="J578" s="8">
        <f t="shared" ref="J578:J592" si="29">IF(AND(ISNUMBER(F578),ISNUMBER(G578)),0,1)</f>
        <v>0</v>
      </c>
      <c r="K578" s="8">
        <f>IFERROR(INDEX(T_OrdenesTrabajo[En_Filtro],MATCH(B578,T_OrdenesTrabajo[ID_OT],0)),0)</f>
        <v>1</v>
      </c>
    </row>
    <row r="579" spans="1:11" x14ac:dyDescent="0.25">
      <c r="A579" s="8" t="s">
        <v>1742</v>
      </c>
      <c r="B579" s="8" t="s">
        <v>1135</v>
      </c>
      <c r="C579" s="8" t="s">
        <v>1167</v>
      </c>
      <c r="D579" s="8" t="s">
        <v>219</v>
      </c>
      <c r="E579" s="8">
        <v>6</v>
      </c>
      <c r="F579" s="10">
        <v>12000</v>
      </c>
      <c r="G579" s="10">
        <v>23100</v>
      </c>
      <c r="H579" s="10">
        <f t="shared" si="27"/>
        <v>72000</v>
      </c>
      <c r="I579" s="10">
        <f t="shared" si="28"/>
        <v>138600</v>
      </c>
      <c r="J579" s="8">
        <f t="shared" si="29"/>
        <v>0</v>
      </c>
      <c r="K579" s="8">
        <f>IFERROR(INDEX(T_OrdenesTrabajo[En_Filtro],MATCH(B579,T_OrdenesTrabajo[ID_OT],0)),0)</f>
        <v>1</v>
      </c>
    </row>
    <row r="580" spans="1:11" x14ac:dyDescent="0.25">
      <c r="A580" s="8" t="s">
        <v>1743</v>
      </c>
      <c r="B580" s="8" t="s">
        <v>1139</v>
      </c>
      <c r="C580" s="8" t="s">
        <v>1164</v>
      </c>
      <c r="D580" s="8" t="s">
        <v>45</v>
      </c>
      <c r="E580" s="8">
        <v>19</v>
      </c>
      <c r="F580" s="10">
        <v>27060</v>
      </c>
      <c r="G580" s="10">
        <v>39540</v>
      </c>
      <c r="H580" s="10">
        <f t="shared" si="27"/>
        <v>514140</v>
      </c>
      <c r="I580" s="10">
        <f t="shared" si="28"/>
        <v>751260</v>
      </c>
      <c r="J580" s="8">
        <f t="shared" si="29"/>
        <v>0</v>
      </c>
      <c r="K580" s="8">
        <f>IFERROR(INDEX(T_OrdenesTrabajo[En_Filtro],MATCH(B580,T_OrdenesTrabajo[ID_OT],0)),0)</f>
        <v>1</v>
      </c>
    </row>
    <row r="581" spans="1:11" x14ac:dyDescent="0.25">
      <c r="A581" s="8" t="s">
        <v>1744</v>
      </c>
      <c r="B581" s="8" t="s">
        <v>1139</v>
      </c>
      <c r="C581" s="8" t="s">
        <v>1164</v>
      </c>
      <c r="D581" s="8" t="s">
        <v>52</v>
      </c>
      <c r="E581" s="8">
        <v>2</v>
      </c>
      <c r="F581" s="10">
        <v>304450</v>
      </c>
      <c r="G581" s="10">
        <v>456460</v>
      </c>
      <c r="H581" s="10">
        <f t="shared" si="27"/>
        <v>608900</v>
      </c>
      <c r="I581" s="10">
        <f t="shared" si="28"/>
        <v>912920</v>
      </c>
      <c r="J581" s="8">
        <f t="shared" si="29"/>
        <v>0</v>
      </c>
      <c r="K581" s="8">
        <f>IFERROR(INDEX(T_OrdenesTrabajo[En_Filtro],MATCH(B581,T_OrdenesTrabajo[ID_OT],0)),0)</f>
        <v>1</v>
      </c>
    </row>
    <row r="582" spans="1:11" x14ac:dyDescent="0.25">
      <c r="A582" s="8" t="s">
        <v>1745</v>
      </c>
      <c r="B582" s="8" t="s">
        <v>1139</v>
      </c>
      <c r="C582" s="8" t="s">
        <v>1167</v>
      </c>
      <c r="D582" s="8" t="s">
        <v>221</v>
      </c>
      <c r="E582" s="8">
        <v>16</v>
      </c>
      <c r="F582" s="10">
        <v>14300</v>
      </c>
      <c r="G582" s="10">
        <v>24700</v>
      </c>
      <c r="H582" s="10">
        <f t="shared" si="27"/>
        <v>228800</v>
      </c>
      <c r="I582" s="10">
        <f t="shared" si="28"/>
        <v>395200</v>
      </c>
      <c r="J582" s="8">
        <f t="shared" si="29"/>
        <v>0</v>
      </c>
      <c r="K582" s="8">
        <f>IFERROR(INDEX(T_OrdenesTrabajo[En_Filtro],MATCH(B582,T_OrdenesTrabajo[ID_OT],0)),0)</f>
        <v>1</v>
      </c>
    </row>
    <row r="583" spans="1:11" x14ac:dyDescent="0.25">
      <c r="A583" s="8" t="s">
        <v>1746</v>
      </c>
      <c r="B583" s="8" t="s">
        <v>1143</v>
      </c>
      <c r="C583" s="8" t="s">
        <v>1164</v>
      </c>
      <c r="D583" s="8" t="s">
        <v>33</v>
      </c>
      <c r="E583" s="8">
        <v>2</v>
      </c>
      <c r="F583" s="10">
        <v>206830</v>
      </c>
      <c r="G583" s="10">
        <v>244960</v>
      </c>
      <c r="H583" s="10">
        <f t="shared" si="27"/>
        <v>413660</v>
      </c>
      <c r="I583" s="10">
        <f t="shared" si="28"/>
        <v>489920</v>
      </c>
      <c r="J583" s="8">
        <f t="shared" si="29"/>
        <v>0</v>
      </c>
      <c r="K583" s="8">
        <f>IFERROR(INDEX(T_OrdenesTrabajo[En_Filtro],MATCH(B583,T_OrdenesTrabajo[ID_OT],0)),0)</f>
        <v>1</v>
      </c>
    </row>
    <row r="584" spans="1:11" x14ac:dyDescent="0.25">
      <c r="A584" s="8" t="s">
        <v>1747</v>
      </c>
      <c r="B584" s="8" t="s">
        <v>1143</v>
      </c>
      <c r="C584" s="8" t="s">
        <v>1167</v>
      </c>
      <c r="D584" s="8" t="s">
        <v>224</v>
      </c>
      <c r="E584" s="8">
        <v>16</v>
      </c>
      <c r="F584" s="10">
        <v>12300</v>
      </c>
      <c r="G584" s="10">
        <v>23400</v>
      </c>
      <c r="H584" s="10">
        <f t="shared" si="27"/>
        <v>196800</v>
      </c>
      <c r="I584" s="10">
        <f t="shared" si="28"/>
        <v>374400</v>
      </c>
      <c r="J584" s="8">
        <f t="shared" si="29"/>
        <v>0</v>
      </c>
      <c r="K584" s="8">
        <f>IFERROR(INDEX(T_OrdenesTrabajo[En_Filtro],MATCH(B584,T_OrdenesTrabajo[ID_OT],0)),0)</f>
        <v>1</v>
      </c>
    </row>
    <row r="585" spans="1:11" x14ac:dyDescent="0.25">
      <c r="A585" s="8" t="s">
        <v>1748</v>
      </c>
      <c r="B585" s="8" t="s">
        <v>1147</v>
      </c>
      <c r="C585" s="8" t="s">
        <v>1164</v>
      </c>
      <c r="D585" s="8" t="s">
        <v>15</v>
      </c>
      <c r="E585" s="8">
        <v>3</v>
      </c>
      <c r="F585" s="10">
        <v>22440</v>
      </c>
      <c r="G585" s="10">
        <v>33240</v>
      </c>
      <c r="H585" s="10">
        <f t="shared" si="27"/>
        <v>67320</v>
      </c>
      <c r="I585" s="10">
        <f t="shared" si="28"/>
        <v>99720</v>
      </c>
      <c r="J585" s="8">
        <f t="shared" si="29"/>
        <v>0</v>
      </c>
      <c r="K585" s="8">
        <f>IFERROR(INDEX(T_OrdenesTrabajo[En_Filtro],MATCH(B585,T_OrdenesTrabajo[ID_OT],0)),0)</f>
        <v>1</v>
      </c>
    </row>
    <row r="586" spans="1:11" x14ac:dyDescent="0.25">
      <c r="A586" s="8" t="s">
        <v>1749</v>
      </c>
      <c r="B586" s="8" t="s">
        <v>1147</v>
      </c>
      <c r="C586" s="8" t="s">
        <v>1164</v>
      </c>
      <c r="D586" s="8" t="s">
        <v>57</v>
      </c>
      <c r="E586" s="8">
        <v>1</v>
      </c>
      <c r="F586" s="10">
        <v>117360</v>
      </c>
      <c r="G586" s="10">
        <v>154630</v>
      </c>
      <c r="H586" s="10">
        <f t="shared" si="27"/>
        <v>117360</v>
      </c>
      <c r="I586" s="10">
        <f t="shared" si="28"/>
        <v>154630</v>
      </c>
      <c r="J586" s="8">
        <f t="shared" si="29"/>
        <v>0</v>
      </c>
      <c r="K586" s="8">
        <f>IFERROR(INDEX(T_OrdenesTrabajo[En_Filtro],MATCH(B586,T_OrdenesTrabajo[ID_OT],0)),0)</f>
        <v>1</v>
      </c>
    </row>
    <row r="587" spans="1:11" x14ac:dyDescent="0.25">
      <c r="A587" s="8" t="s">
        <v>1750</v>
      </c>
      <c r="B587" s="8" t="s">
        <v>1147</v>
      </c>
      <c r="C587" s="8" t="s">
        <v>1167</v>
      </c>
      <c r="D587" s="8" t="s">
        <v>217</v>
      </c>
      <c r="E587" s="8">
        <v>8</v>
      </c>
      <c r="F587" s="10">
        <v>11900</v>
      </c>
      <c r="G587" s="10">
        <v>24000</v>
      </c>
      <c r="H587" s="10">
        <f t="shared" si="27"/>
        <v>95200</v>
      </c>
      <c r="I587" s="10">
        <f t="shared" si="28"/>
        <v>192000</v>
      </c>
      <c r="J587" s="8">
        <f t="shared" si="29"/>
        <v>0</v>
      </c>
      <c r="K587" s="8">
        <f>IFERROR(INDEX(T_OrdenesTrabajo[En_Filtro],MATCH(B587,T_OrdenesTrabajo[ID_OT],0)),0)</f>
        <v>1</v>
      </c>
    </row>
    <row r="588" spans="1:11" x14ac:dyDescent="0.25">
      <c r="A588" s="8" t="s">
        <v>1751</v>
      </c>
      <c r="B588" s="8" t="s">
        <v>1147</v>
      </c>
      <c r="C588" s="8" t="s">
        <v>1167</v>
      </c>
      <c r="D588" s="8" t="s">
        <v>214</v>
      </c>
      <c r="E588" s="8">
        <v>12</v>
      </c>
      <c r="F588" s="10">
        <v>13400</v>
      </c>
      <c r="G588" s="10">
        <v>23400</v>
      </c>
      <c r="H588" s="10">
        <f t="shared" si="27"/>
        <v>160800</v>
      </c>
      <c r="I588" s="10">
        <f t="shared" si="28"/>
        <v>280800</v>
      </c>
      <c r="J588" s="8">
        <f t="shared" si="29"/>
        <v>0</v>
      </c>
      <c r="K588" s="8">
        <f>IFERROR(INDEX(T_OrdenesTrabajo[En_Filtro],MATCH(B588,T_OrdenesTrabajo[ID_OT],0)),0)</f>
        <v>1</v>
      </c>
    </row>
    <row r="589" spans="1:11" x14ac:dyDescent="0.25">
      <c r="A589" s="8" t="s">
        <v>1752</v>
      </c>
      <c r="B589" s="8" t="s">
        <v>1151</v>
      </c>
      <c r="C589" s="8" t="s">
        <v>1164</v>
      </c>
      <c r="D589" s="8" t="s">
        <v>20</v>
      </c>
      <c r="E589" s="8">
        <v>17</v>
      </c>
      <c r="F589" s="10">
        <v>6670</v>
      </c>
      <c r="G589" s="10">
        <v>9030</v>
      </c>
      <c r="H589" s="10">
        <f t="shared" si="27"/>
        <v>113390</v>
      </c>
      <c r="I589" s="10">
        <f t="shared" si="28"/>
        <v>153510</v>
      </c>
      <c r="J589" s="8">
        <f t="shared" si="29"/>
        <v>0</v>
      </c>
      <c r="K589" s="8">
        <f>IFERROR(INDEX(T_OrdenesTrabajo[En_Filtro],MATCH(B589,T_OrdenesTrabajo[ID_OT],0)),0)</f>
        <v>1</v>
      </c>
    </row>
    <row r="590" spans="1:11" x14ac:dyDescent="0.25">
      <c r="A590" s="8" t="s">
        <v>1753</v>
      </c>
      <c r="B590" s="8" t="s">
        <v>1151</v>
      </c>
      <c r="C590" s="8" t="s">
        <v>1164</v>
      </c>
      <c r="D590" s="8" t="s">
        <v>57</v>
      </c>
      <c r="E590" s="8">
        <v>3</v>
      </c>
      <c r="F590" s="10">
        <v>124140</v>
      </c>
      <c r="G590" s="10">
        <v>155820</v>
      </c>
      <c r="H590" s="10">
        <f t="shared" si="27"/>
        <v>372420</v>
      </c>
      <c r="I590" s="10">
        <f t="shared" si="28"/>
        <v>467460</v>
      </c>
      <c r="J590" s="8">
        <f t="shared" si="29"/>
        <v>0</v>
      </c>
      <c r="K590" s="8">
        <f>IFERROR(INDEX(T_OrdenesTrabajo[En_Filtro],MATCH(B590,T_OrdenesTrabajo[ID_OT],0)),0)</f>
        <v>1</v>
      </c>
    </row>
    <row r="591" spans="1:11" x14ac:dyDescent="0.25">
      <c r="A591" s="8" t="s">
        <v>1754</v>
      </c>
      <c r="B591" s="8" t="s">
        <v>1151</v>
      </c>
      <c r="C591" s="8" t="s">
        <v>1167</v>
      </c>
      <c r="D591" s="8" t="s">
        <v>219</v>
      </c>
      <c r="E591" s="8">
        <v>10</v>
      </c>
      <c r="F591" s="10">
        <v>13400</v>
      </c>
      <c r="G591" s="10">
        <v>24600</v>
      </c>
      <c r="H591" s="10">
        <f t="shared" si="27"/>
        <v>134000</v>
      </c>
      <c r="I591" s="10">
        <f t="shared" si="28"/>
        <v>246000</v>
      </c>
      <c r="J591" s="8">
        <f t="shared" si="29"/>
        <v>0</v>
      </c>
      <c r="K591" s="8">
        <f>IFERROR(INDEX(T_OrdenesTrabajo[En_Filtro],MATCH(B591,T_OrdenesTrabajo[ID_OT],0)),0)</f>
        <v>1</v>
      </c>
    </row>
    <row r="592" spans="1:11" x14ac:dyDescent="0.25">
      <c r="A592" s="8" t="s">
        <v>1755</v>
      </c>
      <c r="B592" s="8" t="s">
        <v>1151</v>
      </c>
      <c r="C592" s="8" t="s">
        <v>1167</v>
      </c>
      <c r="D592" s="8" t="s">
        <v>228</v>
      </c>
      <c r="E592" s="8">
        <v>7</v>
      </c>
      <c r="F592" s="10">
        <v>13300</v>
      </c>
      <c r="G592" s="10">
        <v>26700</v>
      </c>
      <c r="H592" s="10">
        <f t="shared" si="27"/>
        <v>93100</v>
      </c>
      <c r="I592" s="10">
        <f t="shared" si="28"/>
        <v>186900</v>
      </c>
      <c r="J592" s="8">
        <f t="shared" si="29"/>
        <v>0</v>
      </c>
      <c r="K592" s="8">
        <f>IFERROR(INDEX(T_OrdenesTrabajo[En_Filtro],MATCH(B592,T_OrdenesTrabajo[ID_OT],0)),0)</f>
        <v>1</v>
      </c>
    </row>
  </sheetData>
  <conditionalFormatting sqref="A2:K592">
    <cfRule type="expression" dxfId="15" priority="2">
      <formula>$J2=1</formula>
    </cfRule>
  </conditionalFormatting>
  <dataValidations count="1">
    <dataValidation type="list" sqref="C2:C1392" xr:uid="{00000000-0002-0000-0800-000000000000}">
      <formula1>"Repuesto,Mano de Obra"</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98A00"/>
  </sheetPr>
  <dimension ref="A1:G25"/>
  <sheetViews>
    <sheetView showGridLines="0" zoomScaleNormal="100" workbookViewId="0">
      <pane ySplit="5" topLeftCell="A6" activePane="bottomLeft" state="frozen"/>
      <selection pane="bottomLeft"/>
    </sheetView>
  </sheetViews>
  <sheetFormatPr baseColWidth="10" defaultColWidth="8.7109375" defaultRowHeight="15" x14ac:dyDescent="0.25"/>
  <cols>
    <col min="1" max="1" width="8" customWidth="1"/>
    <col min="2" max="2" width="58" customWidth="1"/>
    <col min="3" max="4" width="20" customWidth="1"/>
    <col min="5" max="5" width="12" customWidth="1"/>
    <col min="6" max="6" width="14" customWidth="1"/>
    <col min="7" max="7" width="48" customWidth="1"/>
  </cols>
  <sheetData>
    <row r="1" spans="1:7" ht="18" customHeight="1" x14ac:dyDescent="0.25">
      <c r="A1" s="23" t="s">
        <v>1793</v>
      </c>
    </row>
    <row r="2" spans="1:7" ht="30" customHeight="1" x14ac:dyDescent="0.25">
      <c r="A2" s="103" t="s">
        <v>1794</v>
      </c>
      <c r="B2" s="56"/>
      <c r="C2" s="56"/>
      <c r="D2" s="56"/>
      <c r="E2" s="56"/>
      <c r="F2" s="56"/>
      <c r="G2" s="56"/>
    </row>
    <row r="3" spans="1:7" x14ac:dyDescent="0.25">
      <c r="A3" s="24" t="s">
        <v>1795</v>
      </c>
      <c r="B3" s="25" t="str">
        <f>IF(AND(Dashboard!D5="Todos",Dashboard!F5="Todos",Dashboard!H5="Todos",Dashboard!B5=DATE(2026,10,21)),"CUMPLIDA","NO CUMPLIDA: restablecer filtros y fecha de corte")</f>
        <v>CUMPLIDA</v>
      </c>
    </row>
    <row r="5" spans="1:7" x14ac:dyDescent="0.25">
      <c r="A5" s="26" t="s">
        <v>1796</v>
      </c>
      <c r="B5" s="26" t="s">
        <v>1797</v>
      </c>
      <c r="C5" s="26" t="s">
        <v>1798</v>
      </c>
      <c r="D5" s="26" t="s">
        <v>1799</v>
      </c>
      <c r="E5" s="26" t="s">
        <v>1800</v>
      </c>
      <c r="F5" s="26" t="s">
        <v>1801</v>
      </c>
      <c r="G5" s="26" t="s">
        <v>1802</v>
      </c>
    </row>
    <row r="6" spans="1:7" x14ac:dyDescent="0.25">
      <c r="A6" s="27" t="s">
        <v>1803</v>
      </c>
      <c r="B6" s="28" t="s">
        <v>1804</v>
      </c>
      <c r="C6" s="29">
        <v>180</v>
      </c>
      <c r="D6" s="29">
        <f>Dashboard!B9</f>
        <v>180</v>
      </c>
      <c r="E6" s="27">
        <v>0</v>
      </c>
      <c r="F6" s="27" t="str">
        <f t="shared" ref="F6:F22" si="0">IF(ISNUMBER(D6),IF(ABS(D6-C6)&lt;=E6,"OK","REVISAR"),IF(D6=C6,"OK","REVISAR"))</f>
        <v>OK</v>
      </c>
      <c r="G6" s="28" t="s">
        <v>1805</v>
      </c>
    </row>
    <row r="7" spans="1:7" x14ac:dyDescent="0.25">
      <c r="A7" s="27" t="s">
        <v>1806</v>
      </c>
      <c r="B7" s="28" t="s">
        <v>1807</v>
      </c>
      <c r="C7" s="29">
        <v>16</v>
      </c>
      <c r="D7" s="29">
        <f>Dashboard!D9</f>
        <v>16</v>
      </c>
      <c r="E7" s="27">
        <v>0</v>
      </c>
      <c r="F7" s="27" t="str">
        <f t="shared" si="0"/>
        <v>OK</v>
      </c>
      <c r="G7" s="28" t="s">
        <v>1805</v>
      </c>
    </row>
    <row r="8" spans="1:7" x14ac:dyDescent="0.25">
      <c r="A8" s="27" t="s">
        <v>1808</v>
      </c>
      <c r="B8" s="28" t="s">
        <v>1809</v>
      </c>
      <c r="C8" s="29">
        <v>13</v>
      </c>
      <c r="D8" s="29">
        <f>Dashboard!F9</f>
        <v>13</v>
      </c>
      <c r="E8" s="27">
        <v>0</v>
      </c>
      <c r="F8" s="27" t="str">
        <f t="shared" si="0"/>
        <v>OK</v>
      </c>
      <c r="G8" s="28" t="s">
        <v>1805</v>
      </c>
    </row>
    <row r="9" spans="1:7" x14ac:dyDescent="0.25">
      <c r="A9" s="27" t="s">
        <v>1810</v>
      </c>
      <c r="B9" s="28" t="s">
        <v>1811</v>
      </c>
      <c r="C9" s="30">
        <v>0.64634100000000005</v>
      </c>
      <c r="D9" s="30">
        <f>Dashboard!H9</f>
        <v>0.64634146341463417</v>
      </c>
      <c r="E9" s="27">
        <v>5.0000000000000001E-4</v>
      </c>
      <c r="F9" s="27" t="str">
        <f t="shared" si="0"/>
        <v>OK</v>
      </c>
      <c r="G9" s="28" t="s">
        <v>1805</v>
      </c>
    </row>
    <row r="10" spans="1:7" x14ac:dyDescent="0.25">
      <c r="A10" s="27" t="s">
        <v>1812</v>
      </c>
      <c r="B10" s="28" t="s">
        <v>1813</v>
      </c>
      <c r="C10" s="31">
        <v>7.3231999999999999</v>
      </c>
      <c r="D10" s="31">
        <f>Dashboard!J9</f>
        <v>7.3231707317073171</v>
      </c>
      <c r="E10" s="27">
        <v>0.05</v>
      </c>
      <c r="F10" s="27" t="str">
        <f t="shared" si="0"/>
        <v>OK</v>
      </c>
      <c r="G10" s="28" t="s">
        <v>1805</v>
      </c>
    </row>
    <row r="11" spans="1:7" x14ac:dyDescent="0.25">
      <c r="A11" s="27" t="s">
        <v>1814</v>
      </c>
      <c r="B11" s="28" t="s">
        <v>1815</v>
      </c>
      <c r="C11" s="32">
        <v>110292780</v>
      </c>
      <c r="D11" s="32">
        <f>Dashboard!B13</f>
        <v>110292780</v>
      </c>
      <c r="E11" s="27">
        <v>0.5</v>
      </c>
      <c r="F11" s="27" t="str">
        <f t="shared" si="0"/>
        <v>OK</v>
      </c>
      <c r="G11" s="28" t="s">
        <v>1805</v>
      </c>
    </row>
    <row r="12" spans="1:7" x14ac:dyDescent="0.25">
      <c r="A12" s="27" t="s">
        <v>1816</v>
      </c>
      <c r="B12" s="28" t="s">
        <v>1817</v>
      </c>
      <c r="C12" s="32">
        <v>46808500</v>
      </c>
      <c r="D12" s="32">
        <f>Dashboard!D13</f>
        <v>46808500</v>
      </c>
      <c r="E12" s="27">
        <v>0.5</v>
      </c>
      <c r="F12" s="27" t="str">
        <f t="shared" si="0"/>
        <v>OK</v>
      </c>
      <c r="G12" s="28" t="s">
        <v>1805</v>
      </c>
    </row>
    <row r="13" spans="1:7" x14ac:dyDescent="0.25">
      <c r="A13" s="27" t="s">
        <v>1818</v>
      </c>
      <c r="B13" s="28" t="s">
        <v>1819</v>
      </c>
      <c r="C13" s="32">
        <v>28981900</v>
      </c>
      <c r="D13" s="32">
        <f>Dashboard!F13</f>
        <v>28981900</v>
      </c>
      <c r="E13" s="27">
        <v>0.5</v>
      </c>
      <c r="F13" s="27" t="str">
        <f t="shared" si="0"/>
        <v>OK</v>
      </c>
      <c r="G13" s="28" t="s">
        <v>1805</v>
      </c>
    </row>
    <row r="14" spans="1:7" x14ac:dyDescent="0.25">
      <c r="A14" s="27" t="s">
        <v>1820</v>
      </c>
      <c r="B14" s="28" t="s">
        <v>1821</v>
      </c>
      <c r="C14" s="33">
        <v>34502380</v>
      </c>
      <c r="D14" s="33">
        <f>Dashboard!H13</f>
        <v>34502380</v>
      </c>
      <c r="E14" s="27">
        <v>0.5</v>
      </c>
      <c r="F14" s="27" t="str">
        <f t="shared" si="0"/>
        <v>OK</v>
      </c>
      <c r="G14" s="28" t="s">
        <v>1805</v>
      </c>
    </row>
    <row r="15" spans="1:7" x14ac:dyDescent="0.25">
      <c r="A15" s="27" t="s">
        <v>1822</v>
      </c>
      <c r="B15" s="28" t="s">
        <v>1823</v>
      </c>
      <c r="C15" s="32">
        <v>0</v>
      </c>
      <c r="D15" s="32">
        <f>SUM(T_OrdenesTrabajo[Monto_Total_Cobrable])-SUM(T_DetalleOT[Precio_Total])</f>
        <v>0</v>
      </c>
      <c r="E15" s="27">
        <v>0.5</v>
      </c>
      <c r="F15" s="27" t="str">
        <f t="shared" si="0"/>
        <v>OK</v>
      </c>
      <c r="G15" s="28" t="s">
        <v>1824</v>
      </c>
    </row>
    <row r="16" spans="1:7" x14ac:dyDescent="0.25">
      <c r="A16" s="27" t="s">
        <v>1825</v>
      </c>
      <c r="B16" s="28" t="s">
        <v>1826</v>
      </c>
      <c r="C16" s="29">
        <v>0</v>
      </c>
      <c r="D16" s="29">
        <f>SUMPRODUCT(--ISNA(MATCH(T_DetalleOT[ID_OT],T_OrdenesTrabajo[ID_OT],0)))</f>
        <v>0</v>
      </c>
      <c r="E16" s="27">
        <v>0</v>
      </c>
      <c r="F16" s="27" t="str">
        <f t="shared" si="0"/>
        <v>OK</v>
      </c>
      <c r="G16" s="28" t="s">
        <v>1827</v>
      </c>
    </row>
    <row r="17" spans="1:7" x14ac:dyDescent="0.25">
      <c r="A17" s="27" t="s">
        <v>1828</v>
      </c>
      <c r="B17" s="28" t="s">
        <v>1829</v>
      </c>
      <c r="C17" s="29">
        <v>180</v>
      </c>
      <c r="D17" s="29">
        <f>SUMPRODUCT(1/COUNTIF(T_OrdenesTrabajo[ID_OT],T_OrdenesTrabajo[ID_OT]))</f>
        <v>180</v>
      </c>
      <c r="E17" s="27">
        <v>1E-3</v>
      </c>
      <c r="F17" s="27" t="str">
        <f t="shared" si="0"/>
        <v>OK</v>
      </c>
      <c r="G17" s="28" t="s">
        <v>1830</v>
      </c>
    </row>
    <row r="18" spans="1:7" x14ac:dyDescent="0.25">
      <c r="A18" s="27" t="s">
        <v>1831</v>
      </c>
      <c r="B18" s="28" t="s">
        <v>1832</v>
      </c>
      <c r="C18" s="29">
        <v>13</v>
      </c>
      <c r="D18" s="29">
        <f>SUM(T_DetalleOT[Alerta_Dato])</f>
        <v>13</v>
      </c>
      <c r="E18" s="27">
        <v>0</v>
      </c>
      <c r="F18" s="27" t="str">
        <f t="shared" si="0"/>
        <v>OK</v>
      </c>
      <c r="G18" s="28" t="s">
        <v>1833</v>
      </c>
    </row>
    <row r="19" spans="1:7" x14ac:dyDescent="0.25">
      <c r="A19" s="27" t="s">
        <v>1834</v>
      </c>
      <c r="B19" s="28" t="s">
        <v>1835</v>
      </c>
      <c r="C19" s="29">
        <v>36</v>
      </c>
      <c r="D19" s="29" t="e">
        <f>COUNTIFS(T_OrdenesTrabajo[Estado_OT],"Terminada",#REF!,"Pendiente")+COUNTIFS(T_OrdenesTrabajo[Estado_OT],"Entregada",#REF!,"Pendiente")</f>
        <v>#REF!</v>
      </c>
      <c r="E19" s="27">
        <v>0</v>
      </c>
      <c r="F19" s="27" t="e">
        <f t="shared" si="0"/>
        <v>#REF!</v>
      </c>
      <c r="G19" s="28" t="s">
        <v>1836</v>
      </c>
    </row>
    <row r="20" spans="1:7" x14ac:dyDescent="0.25">
      <c r="A20" s="27" t="s">
        <v>1837</v>
      </c>
      <c r="B20" s="28" t="s">
        <v>1838</v>
      </c>
      <c r="C20" s="29">
        <v>14</v>
      </c>
      <c r="D20" s="29">
        <f>COUNTIF(T_OrdenesTrabajo[Margen],"&lt;0")</f>
        <v>9</v>
      </c>
      <c r="E20" s="27">
        <v>0</v>
      </c>
      <c r="F20" s="27" t="str">
        <f t="shared" si="0"/>
        <v>REVISAR</v>
      </c>
      <c r="G20" s="28" t="s">
        <v>1839</v>
      </c>
    </row>
    <row r="21" spans="1:7" x14ac:dyDescent="0.25">
      <c r="A21" s="27" t="s">
        <v>1840</v>
      </c>
      <c r="B21" s="28" t="s">
        <v>1841</v>
      </c>
      <c r="C21" s="34" t="s">
        <v>21</v>
      </c>
      <c r="D21" s="34" t="str">
        <f>Dashboard!C17</f>
        <v>Aceite de caja 80W90</v>
      </c>
      <c r="E21" s="27" t="s">
        <v>1842</v>
      </c>
      <c r="F21" s="27" t="str">
        <f t="shared" si="0"/>
        <v>OK</v>
      </c>
      <c r="G21" s="28" t="s">
        <v>1843</v>
      </c>
    </row>
    <row r="22" spans="1:7" x14ac:dyDescent="0.25">
      <c r="A22" s="27" t="s">
        <v>1844</v>
      </c>
      <c r="B22" s="28" t="s">
        <v>1845</v>
      </c>
      <c r="C22" s="34" t="s">
        <v>25</v>
      </c>
      <c r="D22" s="34" t="str">
        <f>Dashboard!H17</f>
        <v>Parabrisas panorámico</v>
      </c>
      <c r="E22" s="27" t="s">
        <v>1842</v>
      </c>
      <c r="F22" s="27" t="str">
        <f t="shared" si="0"/>
        <v>OK</v>
      </c>
      <c r="G22" s="28" t="s">
        <v>1843</v>
      </c>
    </row>
    <row r="23" spans="1:7" ht="25.5" customHeight="1" x14ac:dyDescent="0.25">
      <c r="A23" s="27" t="s">
        <v>1846</v>
      </c>
      <c r="B23" s="28" t="s">
        <v>1847</v>
      </c>
      <c r="C23" s="27">
        <v>41</v>
      </c>
      <c r="D23" s="35"/>
      <c r="E23" s="27">
        <v>0</v>
      </c>
      <c r="F23" s="27" t="str">
        <f>IF(D23="","PENDIENTE",IF(D23=C23,"OK","REVISAR"))</f>
        <v>PENDIENTE</v>
      </c>
      <c r="G23" s="28" t="s">
        <v>1848</v>
      </c>
    </row>
    <row r="25" spans="1:7" x14ac:dyDescent="0.25">
      <c r="B25" s="36" t="str">
        <f>"Resultado: "&amp;COUNTIF(F6:F23,"OK")&amp;" de "&amp;ROWS(F6:F23)&amp;" pruebas en OK"</f>
        <v>Resultado: 15 de 18 pruebas en OK</v>
      </c>
    </row>
  </sheetData>
  <mergeCells count="1">
    <mergeCell ref="A2:G2"/>
  </mergeCells>
  <conditionalFormatting sqref="B3">
    <cfRule type="expression" dxfId="4" priority="2">
      <formula>B3="CUMPLIDA"</formula>
    </cfRule>
    <cfRule type="expression" dxfId="3" priority="3">
      <formula>B3&lt;&gt;"CUMPLIDA"</formula>
    </cfRule>
  </conditionalFormatting>
  <conditionalFormatting sqref="F6:F23">
    <cfRule type="expression" dxfId="2" priority="4">
      <formula>F6="OK"</formula>
    </cfRule>
    <cfRule type="expression" dxfId="1" priority="5">
      <formula>F6="REVISAR"</formula>
    </cfRule>
    <cfRule type="expression" dxfId="0" priority="6">
      <formula>F6="PENDIENTE"</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Instrucciones</vt:lpstr>
      <vt:lpstr>Control_Mandante</vt:lpstr>
      <vt:lpstr>Dashboard</vt:lpstr>
      <vt:lpstr>Dashboard_Mecanicos</vt:lpstr>
      <vt:lpstr>Dashboard_Graficos</vt:lpstr>
      <vt:lpstr>Maestro_Clientes</vt:lpstr>
      <vt:lpstr>Maestro_Tecnicos</vt:lpstr>
      <vt:lpstr>Maestro_Repuestos</vt:lpstr>
      <vt:lpstr>Registro_OT</vt:lpstr>
      <vt:lpstr>Detalle_OT</vt:lpstr>
      <vt:lpstr>Pruebas_Verificacion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Ramon Muñoz Osorio</cp:lastModifiedBy>
  <cp:revision>1</cp:revision>
  <dcterms:created xsi:type="dcterms:W3CDTF">2026-10-21T22:29:21Z</dcterms:created>
  <dcterms:modified xsi:type="dcterms:W3CDTF">2026-10-23T04:30:28Z</dcterms:modified>
  <dc:language>en-US</dc:language>
</cp:coreProperties>
</file>